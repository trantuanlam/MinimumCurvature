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VVL\Excel\02 MinCurve\01 Hit A Point\mcExample\minimum-curvature-method-main\files\"/>
    </mc:Choice>
  </mc:AlternateContent>
  <xr:revisionPtr revIDLastSave="0" documentId="13_ncr:1_{ED572458-C254-444E-99CE-28A5B0036E9B}" xr6:coauthVersionLast="47" xr6:coauthVersionMax="47" xr10:uidLastSave="{00000000-0000-0000-0000-000000000000}"/>
  <bookViews>
    <workbookView xWindow="-38520" yWindow="-5385" windowWidth="38640" windowHeight="21120" tabRatio="750" xr2:uid="{00000000-000D-0000-FFFF-FFFF00000000}"/>
  </bookViews>
  <sheets>
    <sheet name="Example 1" sheetId="62" r:id="rId1"/>
    <sheet name="Example 2- MD.TVD" sheetId="67" r:id="rId2"/>
    <sheet name="Help" sheetId="61" r:id="rId3"/>
  </sheets>
  <functionGroups builtInGroupCount="19"/>
  <definedNames>
    <definedName name="_xlnm.Print_Area" localSheetId="0">'Example 1'!$B$1:$M$42</definedName>
    <definedName name="_xlnm.Print_Area">#N/A</definedName>
    <definedName name="_xlnm.Print_Titles">#REF!</definedName>
  </definedNames>
  <calcPr calcId="191029"/>
</workbook>
</file>

<file path=xl/calcChain.xml><?xml version="1.0" encoding="utf-8"?>
<calcChain xmlns="http://schemas.openxmlformats.org/spreadsheetml/2006/main">
  <c r="I38" i="61" l="1"/>
  <c r="H38" i="61"/>
  <c r="J38" i="61"/>
  <c r="H52" i="62"/>
  <c r="B36" i="62"/>
  <c r="B37" i="62"/>
  <c r="B24" i="67" l="1"/>
  <c r="B25" i="67" s="1"/>
  <c r="B26" i="67" s="1"/>
  <c r="B27" i="67" s="1"/>
  <c r="G41" i="61"/>
  <c r="F41" i="61"/>
  <c r="I39" i="61"/>
  <c r="H39" i="61"/>
  <c r="J39" i="61"/>
  <c r="E52" i="62"/>
  <c r="H15" i="62"/>
  <c r="E14" i="62"/>
  <c r="H26" i="62"/>
  <c r="H23" i="62"/>
  <c r="G52" i="62"/>
  <c r="H24" i="62"/>
  <c r="H21" i="62"/>
  <c r="F52" i="62"/>
  <c r="H22" i="62"/>
  <c r="H25" i="62"/>
  <c r="G14" i="62"/>
  <c r="F14" i="62"/>
  <c r="H20" i="62"/>
  <c r="H19" i="62"/>
  <c r="H18" i="62"/>
  <c r="H14" i="62"/>
  <c r="H16" i="62"/>
  <c r="H17" i="62"/>
  <c r="J40" i="61" l="1"/>
  <c r="I40" i="61"/>
  <c r="H40" i="61"/>
  <c r="F15" i="62"/>
  <c r="G15" i="62"/>
  <c r="E15" i="62"/>
  <c r="H41" i="61" l="1"/>
  <c r="I41" i="61"/>
  <c r="J41" i="61"/>
  <c r="E16" i="62"/>
  <c r="G16" i="62"/>
  <c r="F16" i="62"/>
  <c r="F17" i="62"/>
  <c r="G17" i="62"/>
  <c r="E17" i="62"/>
  <c r="E18" i="62"/>
  <c r="G18" i="62"/>
  <c r="F18" i="62"/>
  <c r="E19" i="62"/>
  <c r="G19" i="62"/>
  <c r="F19" i="62"/>
  <c r="E20" i="62"/>
  <c r="F20" i="62"/>
  <c r="G20" i="62"/>
  <c r="E21" i="62"/>
  <c r="G21" i="62"/>
  <c r="F21" i="62"/>
  <c r="E22" i="62"/>
  <c r="F22" i="62"/>
  <c r="G22" i="62"/>
  <c r="E23" i="62"/>
  <c r="F23" i="62"/>
  <c r="G23" i="62"/>
  <c r="E24" i="62"/>
  <c r="F24" i="62"/>
  <c r="G24" i="62"/>
  <c r="E25" i="62"/>
  <c r="F25" i="62"/>
  <c r="G25" i="62"/>
  <c r="E26" i="62"/>
  <c r="F26" i="62"/>
  <c r="G26" i="62"/>
  <c r="C36" i="62"/>
  <c r="G40" i="62"/>
  <c r="G39" i="62"/>
  <c r="C26" i="67"/>
  <c r="C24" i="67"/>
  <c r="H36" i="62"/>
  <c r="F36" i="62"/>
  <c r="D40" i="62"/>
  <c r="F40" i="62"/>
  <c r="F9" i="67"/>
  <c r="C41" i="62"/>
  <c r="G13" i="67"/>
  <c r="C28" i="67"/>
  <c r="F11" i="67"/>
  <c r="F14" i="67"/>
  <c r="H41" i="62"/>
  <c r="G41" i="62"/>
  <c r="D37" i="62"/>
  <c r="D39" i="62"/>
  <c r="G14" i="67"/>
  <c r="H39" i="62"/>
  <c r="C23" i="67"/>
  <c r="F41" i="62"/>
  <c r="F10" i="67"/>
  <c r="G37" i="62"/>
  <c r="E40" i="62"/>
  <c r="D36" i="62"/>
  <c r="C27" i="67"/>
  <c r="C37" i="62"/>
  <c r="G10" i="67"/>
  <c r="D41" i="62"/>
  <c r="E39" i="62"/>
  <c r="F12" i="67"/>
  <c r="F8" i="67"/>
  <c r="G8" i="67"/>
  <c r="C22" i="67"/>
  <c r="H40" i="62"/>
  <c r="C39" i="62"/>
  <c r="E41" i="62"/>
  <c r="G36" i="62"/>
  <c r="G11" i="67"/>
  <c r="G9" i="67"/>
  <c r="G12" i="67"/>
  <c r="C25" i="67"/>
  <c r="F13" i="67"/>
  <c r="F39" i="62"/>
  <c r="F37" i="62"/>
  <c r="C40" i="62"/>
  <c r="B38" i="62" l="1"/>
  <c r="E15" i="67"/>
  <c r="F15" i="67"/>
  <c r="G15" i="67"/>
  <c r="H37" i="62"/>
  <c r="F38" i="62"/>
  <c r="G38" i="62"/>
  <c r="H38" i="62"/>
  <c r="C38" i="62"/>
  <c r="D38" i="62"/>
  <c r="E38" i="62"/>
  <c r="E16" i="67" l="1"/>
  <c r="G16" i="67"/>
  <c r="F16" i="6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Tran Tuan Lam</author>
  </authors>
  <commentList>
    <comment ref="B8" authorId="0" shapeId="0" xr:uid="{43F50684-9DF2-4EC0-B817-E4B9616C5475}">
      <text>
        <r>
          <rPr>
            <b/>
            <sz val="9"/>
            <color indexed="81"/>
            <rFont val="Tahoma"/>
            <charset val="1"/>
          </rPr>
          <t>Tran Tuan Lam:</t>
        </r>
        <r>
          <rPr>
            <sz val="9"/>
            <color indexed="81"/>
            <rFont val="Tahoma"/>
            <charset val="1"/>
          </rPr>
          <t xml:space="preserve">
Planned and Actual Well Surveys are calculated using the same formulas.
</t>
        </r>
      </text>
    </comment>
    <comment ref="E36" authorId="0" shapeId="0" xr:uid="{00000000-0006-0000-0000-000002000000}">
      <text>
        <r>
          <rPr>
            <b/>
            <sz val="8"/>
            <color indexed="81"/>
            <rFont val="Tahoma"/>
            <family val="2"/>
          </rPr>
          <t>Tran Tuan Lam:</t>
        </r>
        <r>
          <rPr>
            <sz val="8"/>
            <color indexed="81"/>
            <rFont val="Tahoma"/>
            <family val="2"/>
          </rPr>
          <t xml:space="preserve">
Enter TVD to calculate other parameters</t>
        </r>
      </text>
    </comment>
    <comment ref="B38" authorId="0" shapeId="0" xr:uid="{00000000-0006-0000-0000-000003000000}">
      <text>
        <r>
          <rPr>
            <b/>
            <sz val="8"/>
            <color indexed="81"/>
            <rFont val="Tahoma"/>
            <family val="2"/>
          </rPr>
          <t>Tran Tuan Lam:</t>
        </r>
        <r>
          <rPr>
            <sz val="8"/>
            <color indexed="81"/>
            <rFont val="Tahoma"/>
            <family val="2"/>
          </rPr>
          <t xml:space="preserve">
Enter MD to calculate other parameters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Tran Tuan Lam</author>
  </authors>
  <commentList>
    <comment ref="B6" authorId="0" shapeId="0" xr:uid="{00000000-0006-0000-0200-000001000000}">
      <text>
        <r>
          <rPr>
            <b/>
            <sz val="8"/>
            <color indexed="81"/>
            <rFont val="Tahoma"/>
            <family val="2"/>
          </rPr>
          <t>Tran Tuan Lam:</t>
        </r>
        <r>
          <rPr>
            <sz val="8"/>
            <color indexed="81"/>
            <rFont val="Tahoma"/>
            <family val="2"/>
          </rPr>
          <t xml:space="preserve">
This is an example how to get MD if TVD is given.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Tran Tuan Lam</author>
  </authors>
  <commentList>
    <comment ref="E37" authorId="0" shapeId="0" xr:uid="{00000000-0006-0000-0400-000001000000}">
      <text>
        <r>
          <rPr>
            <b/>
            <sz val="8"/>
            <color indexed="81"/>
            <rFont val="Tahoma"/>
            <family val="2"/>
          </rPr>
          <t>Tran Tuan Lam:</t>
        </r>
        <r>
          <rPr>
            <sz val="8"/>
            <color indexed="81"/>
            <rFont val="Tahoma"/>
            <family val="2"/>
          </rPr>
          <t xml:space="preserve">
Data range:
MD, Inclination &amp; Azimuth, TVD, North, East  should be stored in 6 first columns
</t>
        </r>
      </text>
    </comment>
    <comment ref="H37" authorId="0" shapeId="0" xr:uid="{00000000-0006-0000-0400-000002000000}">
      <text>
        <r>
          <rPr>
            <b/>
            <sz val="8"/>
            <color indexed="81"/>
            <rFont val="Tahoma"/>
            <family val="2"/>
          </rPr>
          <t>Tran Tuan Lam:</t>
        </r>
        <r>
          <rPr>
            <sz val="8"/>
            <color indexed="81"/>
            <rFont val="Tahoma"/>
            <family val="2"/>
          </rPr>
          <t xml:space="preserve">
Tie-in coordinate for first point should be given in 3 consecutive cells.</t>
        </r>
      </text>
    </comment>
    <comment ref="K37" authorId="0" shapeId="0" xr:uid="{00000000-0006-0000-0400-000003000000}">
      <text>
        <r>
          <rPr>
            <b/>
            <sz val="8"/>
            <color indexed="81"/>
            <rFont val="Tahoma"/>
            <family val="2"/>
          </rPr>
          <t>Tran Tuan Lam:</t>
        </r>
        <r>
          <rPr>
            <sz val="8"/>
            <color indexed="81"/>
            <rFont val="Tahoma"/>
            <family val="2"/>
          </rPr>
          <t xml:space="preserve">
Cells outside of data range are "free". They can be used for any purpose </t>
        </r>
      </text>
    </comment>
    <comment ref="H38" authorId="0" shapeId="0" xr:uid="{00000000-0006-0000-0400-000004000000}">
      <text>
        <r>
          <rPr>
            <b/>
            <sz val="8"/>
            <color indexed="81"/>
            <rFont val="Tahoma"/>
            <family val="2"/>
          </rPr>
          <t>Tran Tuan Lam:</t>
        </r>
        <r>
          <rPr>
            <sz val="8"/>
            <color indexed="81"/>
            <rFont val="Tahoma"/>
            <family val="2"/>
          </rPr>
          <t xml:space="preserve">
using mcXXXX functions in 3 columns is similar native Excel function
=E29+ mcVertical(C29,C30,D29,D30,B30-B29)
These three column should hold the value of 
</t>
        </r>
        <r>
          <rPr>
            <b/>
            <sz val="8"/>
            <color indexed="81"/>
            <rFont val="Tahoma"/>
            <family val="2"/>
          </rPr>
          <t>TVD, North, East</t>
        </r>
        <r>
          <rPr>
            <sz val="8"/>
            <color indexed="81"/>
            <rFont val="Tahoma"/>
            <family val="2"/>
          </rPr>
          <t xml:space="preserve"> relative to the first point of 
data range.
Value or formula can be entered into these cells</t>
        </r>
      </text>
    </comment>
    <comment ref="E42" authorId="0" shapeId="0" xr:uid="{00000000-0006-0000-0400-000005000000}">
      <text>
        <r>
          <rPr>
            <b/>
            <sz val="8"/>
            <color indexed="81"/>
            <rFont val="Tahoma"/>
            <family val="2"/>
          </rPr>
          <t>Tran Tuan Lam:</t>
        </r>
        <r>
          <rPr>
            <sz val="8"/>
            <color indexed="81"/>
            <rFont val="Tahoma"/>
            <family val="2"/>
          </rPr>
          <t xml:space="preserve">
Empty row at the end of data range is MUST</t>
        </r>
      </text>
    </comment>
    <comment ref="K43" authorId="0" shapeId="0" xr:uid="{00000000-0006-0000-0400-000006000000}">
      <text>
        <r>
          <rPr>
            <b/>
            <sz val="8"/>
            <color indexed="81"/>
            <rFont val="Tahoma"/>
            <family val="2"/>
          </rPr>
          <t>Tran Tuan Lam:</t>
        </r>
        <r>
          <rPr>
            <sz val="8"/>
            <color indexed="81"/>
            <rFont val="Tahoma"/>
            <family val="2"/>
          </rPr>
          <t xml:space="preserve">
Cells outside of data range are "free". They can be used for any purpose </t>
        </r>
      </text>
    </comment>
  </commentList>
</comments>
</file>

<file path=xl/sharedStrings.xml><?xml version="1.0" encoding="utf-8"?>
<sst xmlns="http://schemas.openxmlformats.org/spreadsheetml/2006/main" count="123" uniqueCount="75">
  <si>
    <t>TVD</t>
  </si>
  <si>
    <t>MD</t>
  </si>
  <si>
    <t>Azimuth</t>
  </si>
  <si>
    <t>N/S</t>
  </si>
  <si>
    <t>E/W</t>
  </si>
  <si>
    <t>DLS</t>
  </si>
  <si>
    <t>(+)/(-)</t>
  </si>
  <si>
    <t>m</t>
  </si>
  <si>
    <t>deg</t>
  </si>
  <si>
    <t xml:space="preserve"> /30m</t>
  </si>
  <si>
    <t>9 5/8" shoe</t>
  </si>
  <si>
    <t>Well</t>
  </si>
  <si>
    <t>WellA</t>
  </si>
  <si>
    <t>Remark</t>
  </si>
  <si>
    <t>Input cell</t>
  </si>
  <si>
    <t>Type in these cells</t>
  </si>
  <si>
    <t>Inclination</t>
  </si>
  <si>
    <t>Local Coordinate</t>
  </si>
  <si>
    <t>20in casing shoe TVD/MD</t>
  </si>
  <si>
    <t>26in hole</t>
  </si>
  <si>
    <t>30in shoe</t>
  </si>
  <si>
    <t>17 1/2" section TD</t>
  </si>
  <si>
    <t>13 3/8" shoe</t>
  </si>
  <si>
    <t>12 1/4" hole</t>
  </si>
  <si>
    <t>8 1/2" section TD</t>
  </si>
  <si>
    <t>Calculate TVD from MD</t>
  </si>
  <si>
    <t>Planned well survey</t>
  </si>
  <si>
    <t>This is an example how to calculate MD of a point when TVD is known</t>
  </si>
  <si>
    <t>Standard survey data range format</t>
  </si>
  <si>
    <t>North/ South</t>
  </si>
  <si>
    <t>East/ West</t>
  </si>
  <si>
    <t>Azimuth, deg</t>
  </si>
  <si>
    <t>If MD is given in meter then the TVD, North, East are result in meter.</t>
  </si>
  <si>
    <t>If MD is given in ft then the TVD, North, East are result in ft.</t>
  </si>
  <si>
    <t>Incl, 
deg</t>
  </si>
  <si>
    <t>3B6BE86B-0759-4766-81C8-91255F8A8C18</t>
  </si>
  <si>
    <t>Cell color coding in this workbook</t>
  </si>
  <si>
    <t>Empty row in data range is required at the end of data</t>
  </si>
  <si>
    <t>Copy/Paste</t>
  </si>
  <si>
    <t>Function can be copy/paste make it easy to add a row to survey sheet or make MD-TVD convert for hundreds values</t>
  </si>
  <si>
    <r>
      <t xml:space="preserve">First 6 columns of survey table should be </t>
    </r>
    <r>
      <rPr>
        <b/>
        <sz val="10"/>
        <rFont val="Arial"/>
        <family val="2"/>
      </rPr>
      <t xml:space="preserve">MD, Inclination, Azimuth, TVD, North, East </t>
    </r>
    <r>
      <rPr>
        <sz val="10"/>
        <rFont val="Arial"/>
        <family val="2"/>
      </rPr>
      <t>to make these functions operate correctly</t>
    </r>
  </si>
  <si>
    <t>VBA functions is stored in this work book. Macro should be enable for calculation.</t>
  </si>
  <si>
    <t>This is an example how TVD is calculated when MD is known</t>
  </si>
  <si>
    <t>Remarks</t>
  </si>
  <si>
    <t>a Point of interest</t>
  </si>
  <si>
    <t>mcXXXXX functions can be used as normal Excel function, that mean formula can be copy/ paste between cells.</t>
  </si>
  <si>
    <t>&lt;&lt; Empty row is required at the end of data. This is End of data signature</t>
  </si>
  <si>
    <t>Function name has prefix mc; for example function mcVertical calculate vertical distance between 2 survey stations.</t>
  </si>
  <si>
    <t>Short help</t>
  </si>
  <si>
    <t>This workbook is used to</t>
  </si>
  <si>
    <t>Cells outside this data range are free to use</t>
  </si>
  <si>
    <t>These functions can be used as normal Excel function to carry out survey calculation.</t>
  </si>
  <si>
    <t>Minimum curvature method is applied for all calculations.</t>
  </si>
  <si>
    <t>Formula/output cells</t>
  </si>
  <si>
    <t>Use the same table format for planned and actual survey</t>
  </si>
  <si>
    <t>&lt;&lt;&lt; Last row of survey should be empty</t>
  </si>
  <si>
    <t>1) Make survey calculation (TVD/North/East/Dogleg) from directional survey (MD/Inclination/Azimuth) for a well</t>
  </si>
  <si>
    <t>2) Interpolate survey values for any point given Measure Depth  or True Vertical Depth</t>
  </si>
  <si>
    <t xml:space="preserve">Interpolation: calculate MD from TVD </t>
  </si>
  <si>
    <t xml:space="preserve">Using 2 above formulae will produce the same result. </t>
  </si>
  <si>
    <t>Internal calculation will always track down the data range until empty row found.</t>
  </si>
  <si>
    <t>https://trantuanlam.github.io/MinimumCurvature/</t>
  </si>
  <si>
    <t>=mcGetMDfromTVD('Example 1'!$B$13:G28,E13)</t>
  </si>
  <si>
    <t>=mcGetMDfromTVD('Example 1'!$B$13,E13)</t>
  </si>
  <si>
    <t>Given MD out of range</t>
  </si>
  <si>
    <t xml:space="preserve">Interpolation functions use entire survey table to make calculation. </t>
  </si>
  <si>
    <t>Example how to convert Measure Depth to TVD vice versa</t>
  </si>
  <si>
    <t>Test Data</t>
  </si>
  <si>
    <t>Well Directional Survey Calculation using Minimum Curvature Method</t>
  </si>
  <si>
    <t>Calculated Cell</t>
  </si>
  <si>
    <t>Minimum Curvature Method‎ (drillingformulas.com)</t>
  </si>
  <si>
    <t>ft</t>
  </si>
  <si>
    <t xml:space="preserve"> /30ft</t>
  </si>
  <si>
    <r>
      <t xml:space="preserve">Example: Interpolation from </t>
    </r>
    <r>
      <rPr>
        <b/>
        <sz val="12"/>
        <rFont val="Tahoma"/>
        <family val="2"/>
      </rPr>
      <t>Planned survey</t>
    </r>
  </si>
  <si>
    <t>zzz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</si>
</sst>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0"/>
      <name val="Arial"/>
    </font>
    <font>
      <sz val="10"/>
      <name val="Arial"/>
      <family val="2"/>
    </font>
    <font>
      <sz val="10"/>
      <name val="866 Helvetica"/>
      <family val="2"/>
    </font>
    <font>
      <sz val="8"/>
      <name val="866 Helvetica"/>
      <family val="2"/>
    </font>
    <font>
      <sz val="10"/>
      <name val="Tahoma"/>
      <family val="2"/>
      <charset val="204"/>
    </font>
    <font>
      <b/>
      <sz val="8"/>
      <color indexed="81"/>
      <name val="Tahoma"/>
      <family val="2"/>
    </font>
    <font>
      <sz val="8"/>
      <color indexed="81"/>
      <name val="Tahoma"/>
      <family val="2"/>
    </font>
    <font>
      <sz val="8"/>
      <name val="Arial"/>
      <family val="2"/>
    </font>
    <font>
      <sz val="10"/>
      <name val="Arial"/>
      <family val="2"/>
    </font>
    <font>
      <sz val="10"/>
      <color indexed="54"/>
      <name val="Tahoma"/>
      <family val="2"/>
      <charset val="204"/>
    </font>
    <font>
      <u/>
      <sz val="10"/>
      <color indexed="12"/>
      <name val="Arial"/>
      <family val="2"/>
    </font>
    <font>
      <b/>
      <sz val="10"/>
      <color indexed="12"/>
      <name val="Tahoma"/>
      <family val="2"/>
    </font>
    <font>
      <b/>
      <sz val="10"/>
      <name val="Arial"/>
      <family val="2"/>
    </font>
    <font>
      <b/>
      <sz val="14"/>
      <color indexed="12"/>
      <name val="Tahoma"/>
      <family val="2"/>
    </font>
    <font>
      <b/>
      <sz val="14"/>
      <color indexed="12"/>
      <name val="Arial"/>
      <family val="2"/>
    </font>
    <font>
      <sz val="10"/>
      <color indexed="9"/>
      <name val="Arial"/>
      <family val="2"/>
    </font>
    <font>
      <b/>
      <sz val="14"/>
      <color indexed="21"/>
      <name val="Arial"/>
      <family val="2"/>
    </font>
    <font>
      <b/>
      <sz val="12"/>
      <name val="Tahoma"/>
      <family val="2"/>
    </font>
    <font>
      <b/>
      <sz val="10"/>
      <name val="Tahoma"/>
      <family val="2"/>
    </font>
    <font>
      <b/>
      <sz val="12"/>
      <color indexed="12"/>
      <name val="Tahoma"/>
      <family val="2"/>
    </font>
    <font>
      <sz val="10"/>
      <color indexed="12"/>
      <name val="Arial"/>
      <family val="2"/>
    </font>
    <font>
      <i/>
      <sz val="10"/>
      <name val="Arial"/>
      <family val="2"/>
    </font>
    <font>
      <sz val="10"/>
      <color indexed="12"/>
      <name val="Arial"/>
      <family val="2"/>
    </font>
    <font>
      <sz val="9"/>
      <color indexed="81"/>
      <name val="Tahoma"/>
      <charset val="1"/>
    </font>
    <font>
      <b/>
      <sz val="9"/>
      <color indexed="81"/>
      <name val="Tahoma"/>
      <charset val="1"/>
    </font>
  </fonts>
  <fills count="9">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indexed="22"/>
        <bgColor indexed="64"/>
      </patternFill>
    </fill>
    <fill>
      <patternFill patternType="solid">
        <fgColor indexed="15"/>
        <bgColor indexed="64"/>
      </patternFill>
    </fill>
    <fill>
      <patternFill patternType="solid">
        <fgColor indexed="45"/>
        <bgColor indexed="64"/>
      </patternFill>
    </fill>
    <fill>
      <patternFill patternType="solid">
        <fgColor indexed="44"/>
        <bgColor indexed="64"/>
      </patternFill>
    </fill>
  </fills>
  <borders count="20">
    <border>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ck">
        <color indexed="64"/>
      </left>
      <right style="thin">
        <color indexed="64"/>
      </right>
      <top style="thick">
        <color indexed="64"/>
      </top>
      <bottom style="hair">
        <color indexed="64"/>
      </bottom>
      <diagonal/>
    </border>
    <border>
      <left style="thin">
        <color indexed="64"/>
      </left>
      <right style="thin">
        <color indexed="64"/>
      </right>
      <top style="thick">
        <color indexed="64"/>
      </top>
      <bottom style="hair">
        <color indexed="64"/>
      </bottom>
      <diagonal/>
    </border>
    <border>
      <left style="thin">
        <color indexed="64"/>
      </left>
      <right style="thick">
        <color indexed="64"/>
      </right>
      <top style="thick">
        <color indexed="64"/>
      </top>
      <bottom style="hair">
        <color indexed="64"/>
      </bottom>
      <diagonal/>
    </border>
    <border>
      <left style="thick">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ck">
        <color indexed="64"/>
      </right>
      <top style="hair">
        <color indexed="64"/>
      </top>
      <bottom style="hair">
        <color indexed="64"/>
      </bottom>
      <diagonal/>
    </border>
    <border>
      <left style="thick">
        <color indexed="64"/>
      </left>
      <right style="thin">
        <color indexed="64"/>
      </right>
      <top style="hair">
        <color indexed="64"/>
      </top>
      <bottom style="thick">
        <color indexed="64"/>
      </bottom>
      <diagonal/>
    </border>
    <border>
      <left style="thin">
        <color indexed="64"/>
      </left>
      <right style="thin">
        <color indexed="64"/>
      </right>
      <top style="hair">
        <color indexed="64"/>
      </top>
      <bottom style="thick">
        <color indexed="64"/>
      </bottom>
      <diagonal/>
    </border>
    <border>
      <left style="thin">
        <color indexed="64"/>
      </left>
      <right style="thick">
        <color indexed="64"/>
      </right>
      <top style="hair">
        <color indexed="64"/>
      </top>
      <bottom style="thick">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2" fillId="0" borderId="0"/>
    <xf numFmtId="0" fontId="1" fillId="0" borderId="0"/>
  </cellStyleXfs>
  <cellXfs count="83">
    <xf numFmtId="0" fontId="0" fillId="0" borderId="0" xfId="0"/>
    <xf numFmtId="0" fontId="4" fillId="0" borderId="0" xfId="2" applyFont="1"/>
    <xf numFmtId="2" fontId="4" fillId="0" borderId="0" xfId="2" applyNumberFormat="1" applyFont="1"/>
    <xf numFmtId="0" fontId="1" fillId="0" borderId="0" xfId="3"/>
    <xf numFmtId="2" fontId="8" fillId="0" borderId="0" xfId="0" applyNumberFormat="1" applyFont="1"/>
    <xf numFmtId="0" fontId="9" fillId="0" borderId="0" xfId="2" applyFont="1"/>
    <xf numFmtId="0" fontId="4" fillId="0" borderId="1" xfId="2" applyFont="1" applyBorder="1"/>
    <xf numFmtId="0" fontId="4" fillId="0" borderId="2" xfId="2" applyFont="1" applyBorder="1"/>
    <xf numFmtId="0" fontId="12" fillId="0" borderId="0" xfId="3" applyFont="1"/>
    <xf numFmtId="0" fontId="12" fillId="0" borderId="0" xfId="0" applyFont="1"/>
    <xf numFmtId="0" fontId="0" fillId="2" borderId="3" xfId="0" applyFill="1" applyBorder="1"/>
    <xf numFmtId="0" fontId="4" fillId="2" borderId="1" xfId="2" applyFont="1" applyFill="1" applyBorder="1"/>
    <xf numFmtId="0" fontId="4" fillId="2" borderId="2" xfId="2" applyFont="1" applyFill="1" applyBorder="1"/>
    <xf numFmtId="2" fontId="8" fillId="3" borderId="2" xfId="0" applyNumberFormat="1" applyFont="1" applyFill="1" applyBorder="1"/>
    <xf numFmtId="2" fontId="8" fillId="4" borderId="2" xfId="0" applyNumberFormat="1" applyFont="1" applyFill="1" applyBorder="1"/>
    <xf numFmtId="0" fontId="13" fillId="0" borderId="0" xfId="2" applyFont="1"/>
    <xf numFmtId="2" fontId="4" fillId="2" borderId="1" xfId="2" applyNumberFormat="1" applyFont="1" applyFill="1" applyBorder="1"/>
    <xf numFmtId="2" fontId="4" fillId="2" borderId="2" xfId="2" applyNumberFormat="1" applyFont="1" applyFill="1" applyBorder="1"/>
    <xf numFmtId="0" fontId="11" fillId="5" borderId="1" xfId="2" applyFont="1" applyFill="1" applyBorder="1" applyAlignment="1">
      <alignment horizontal="center"/>
    </xf>
    <xf numFmtId="0" fontId="11" fillId="5" borderId="1" xfId="2" applyFont="1" applyFill="1" applyBorder="1"/>
    <xf numFmtId="0" fontId="11" fillId="5" borderId="2" xfId="2" applyFont="1" applyFill="1" applyBorder="1" applyAlignment="1">
      <alignment horizontal="center"/>
    </xf>
    <xf numFmtId="0" fontId="11" fillId="5" borderId="2" xfId="2" applyFont="1" applyFill="1" applyBorder="1"/>
    <xf numFmtId="0" fontId="11" fillId="5" borderId="4" xfId="2" applyFont="1" applyFill="1" applyBorder="1" applyAlignment="1">
      <alignment horizontal="center"/>
    </xf>
    <xf numFmtId="0" fontId="11" fillId="5" borderId="4" xfId="2" applyFont="1" applyFill="1" applyBorder="1"/>
    <xf numFmtId="0" fontId="16" fillId="0" borderId="0" xfId="0" applyFont="1"/>
    <xf numFmtId="0" fontId="17" fillId="0" borderId="0" xfId="2" applyFont="1"/>
    <xf numFmtId="0" fontId="0" fillId="4" borderId="3" xfId="0" applyFill="1" applyBorder="1"/>
    <xf numFmtId="0" fontId="0" fillId="3" borderId="3" xfId="0" applyFill="1" applyBorder="1"/>
    <xf numFmtId="0" fontId="0" fillId="6" borderId="3" xfId="0" applyFill="1" applyBorder="1"/>
    <xf numFmtId="0" fontId="0" fillId="0" borderId="5" xfId="0" applyBorder="1" applyAlignment="1">
      <alignment horizontal="center"/>
    </xf>
    <xf numFmtId="0" fontId="0" fillId="0" borderId="5" xfId="0" applyBorder="1" applyAlignment="1">
      <alignment horizontal="center" wrapText="1"/>
    </xf>
    <xf numFmtId="0" fontId="8" fillId="0" borderId="6" xfId="3" applyFont="1" applyBorder="1"/>
    <xf numFmtId="0" fontId="1" fillId="0" borderId="6" xfId="3" applyBorder="1"/>
    <xf numFmtId="0" fontId="1" fillId="0" borderId="7" xfId="3" applyBorder="1"/>
    <xf numFmtId="0" fontId="1" fillId="0" borderId="8" xfId="3" applyBorder="1"/>
    <xf numFmtId="2" fontId="8" fillId="2" borderId="2" xfId="0" applyNumberFormat="1" applyFont="1" applyFill="1" applyBorder="1"/>
    <xf numFmtId="0" fontId="0" fillId="7" borderId="0" xfId="0" applyFill="1"/>
    <xf numFmtId="0" fontId="8" fillId="0" borderId="0" xfId="0" applyFont="1" applyAlignment="1">
      <alignment horizontal="left" indent="1"/>
    </xf>
    <xf numFmtId="0" fontId="8" fillId="3" borderId="2" xfId="0" applyFont="1" applyFill="1" applyBorder="1"/>
    <xf numFmtId="2" fontId="4" fillId="0" borderId="2" xfId="2" applyNumberFormat="1" applyFont="1" applyBorder="1"/>
    <xf numFmtId="0" fontId="9" fillId="0" borderId="2" xfId="2" applyFont="1" applyBorder="1"/>
    <xf numFmtId="0" fontId="15" fillId="0" borderId="0" xfId="0" applyFont="1" applyProtection="1">
      <protection locked="0"/>
    </xf>
    <xf numFmtId="0" fontId="4" fillId="2" borderId="9" xfId="2" applyFont="1" applyFill="1" applyBorder="1"/>
    <xf numFmtId="0" fontId="4" fillId="2" borderId="10" xfId="2" applyFont="1" applyFill="1" applyBorder="1"/>
    <xf numFmtId="0" fontId="4" fillId="2" borderId="11" xfId="2" applyFont="1" applyFill="1" applyBorder="1"/>
    <xf numFmtId="0" fontId="4" fillId="2" borderId="12" xfId="2" applyFont="1" applyFill="1" applyBorder="1"/>
    <xf numFmtId="0" fontId="4" fillId="2" borderId="13" xfId="2" applyFont="1" applyFill="1" applyBorder="1"/>
    <xf numFmtId="2" fontId="8" fillId="3" borderId="13" xfId="0" applyNumberFormat="1" applyFont="1" applyFill="1" applyBorder="1"/>
    <xf numFmtId="2" fontId="8" fillId="3" borderId="14" xfId="0" applyNumberFormat="1" applyFont="1" applyFill="1" applyBorder="1"/>
    <xf numFmtId="0" fontId="4" fillId="2" borderId="15" xfId="2" applyFont="1" applyFill="1" applyBorder="1"/>
    <xf numFmtId="0" fontId="4" fillId="2" borderId="16" xfId="2" applyFont="1" applyFill="1" applyBorder="1"/>
    <xf numFmtId="2" fontId="8" fillId="3" borderId="16" xfId="0" applyNumberFormat="1" applyFont="1" applyFill="1" applyBorder="1"/>
    <xf numFmtId="2" fontId="8" fillId="3" borderId="17" xfId="0" applyNumberFormat="1" applyFont="1" applyFill="1" applyBorder="1"/>
    <xf numFmtId="0" fontId="8" fillId="2" borderId="2" xfId="0" applyFont="1" applyFill="1" applyBorder="1"/>
    <xf numFmtId="2" fontId="8" fillId="4" borderId="3" xfId="0" applyNumberFormat="1" applyFont="1" applyFill="1" applyBorder="1"/>
    <xf numFmtId="0" fontId="14" fillId="0" borderId="0" xfId="0" applyFont="1"/>
    <xf numFmtId="0" fontId="19" fillId="0" borderId="0" xfId="2" applyFont="1"/>
    <xf numFmtId="2" fontId="20" fillId="0" borderId="0" xfId="0" quotePrefix="1" applyNumberFormat="1" applyFont="1"/>
    <xf numFmtId="0" fontId="18" fillId="5" borderId="18" xfId="2" applyFont="1" applyFill="1" applyBorder="1" applyAlignment="1">
      <alignment horizontal="centerContinuous"/>
    </xf>
    <xf numFmtId="0" fontId="1" fillId="5" borderId="19" xfId="3" applyFill="1" applyBorder="1" applyAlignment="1">
      <alignment horizontal="centerContinuous"/>
    </xf>
    <xf numFmtId="2" fontId="12" fillId="5" borderId="3" xfId="0" applyNumberFormat="1" applyFont="1" applyFill="1" applyBorder="1" applyAlignment="1">
      <alignment horizontal="center"/>
    </xf>
    <xf numFmtId="0" fontId="12" fillId="5" borderId="3" xfId="3" applyFont="1" applyFill="1" applyBorder="1" applyAlignment="1">
      <alignment horizontal="center"/>
    </xf>
    <xf numFmtId="0" fontId="0" fillId="0" borderId="0" xfId="0" applyAlignment="1">
      <alignment horizontal="left" indent="1"/>
    </xf>
    <xf numFmtId="0" fontId="21" fillId="0" borderId="0" xfId="0" applyFont="1" applyAlignment="1">
      <alignment horizontal="left" indent="1"/>
    </xf>
    <xf numFmtId="0" fontId="11" fillId="8" borderId="1" xfId="2" applyFont="1" applyFill="1" applyBorder="1" applyAlignment="1">
      <alignment horizontal="center"/>
    </xf>
    <xf numFmtId="0" fontId="11" fillId="8" borderId="1" xfId="2" applyFont="1" applyFill="1" applyBorder="1"/>
    <xf numFmtId="0" fontId="11" fillId="8" borderId="2" xfId="2" applyFont="1" applyFill="1" applyBorder="1" applyAlignment="1">
      <alignment horizontal="center"/>
    </xf>
    <xf numFmtId="0" fontId="11" fillId="8" borderId="2" xfId="2" applyFont="1" applyFill="1" applyBorder="1"/>
    <xf numFmtId="0" fontId="11" fillId="8" borderId="4" xfId="2" applyFont="1" applyFill="1" applyBorder="1" applyAlignment="1">
      <alignment horizontal="center"/>
    </xf>
    <xf numFmtId="0" fontId="11" fillId="8" borderId="4" xfId="2" applyFont="1" applyFill="1" applyBorder="1"/>
    <xf numFmtId="0" fontId="22" fillId="0" borderId="0" xfId="0" applyFont="1"/>
    <xf numFmtId="2" fontId="8" fillId="2" borderId="3" xfId="0" applyNumberFormat="1" applyFont="1" applyFill="1" applyBorder="1"/>
    <xf numFmtId="0" fontId="1" fillId="2" borderId="3" xfId="3" applyFill="1" applyBorder="1"/>
    <xf numFmtId="0" fontId="1" fillId="4" borderId="3" xfId="3" applyFill="1" applyBorder="1"/>
    <xf numFmtId="2" fontId="1" fillId="0" borderId="0" xfId="0" applyNumberFormat="1" applyFont="1"/>
    <xf numFmtId="0" fontId="10" fillId="0" borderId="0" xfId="1" applyAlignment="1" applyProtection="1"/>
    <xf numFmtId="2" fontId="8" fillId="4" borderId="3" xfId="0" applyNumberFormat="1" applyFont="1" applyFill="1" applyBorder="1" applyAlignment="1">
      <alignment horizontal="centerContinuous"/>
    </xf>
    <xf numFmtId="0" fontId="1" fillId="0" borderId="0" xfId="0" applyFont="1"/>
    <xf numFmtId="2" fontId="1" fillId="3" borderId="3" xfId="0" applyNumberFormat="1" applyFont="1" applyFill="1" applyBorder="1" applyAlignment="1">
      <alignment horizontal="centerContinuous"/>
    </xf>
    <xf numFmtId="2" fontId="4" fillId="2" borderId="3" xfId="2" applyNumberFormat="1" applyFont="1" applyFill="1" applyBorder="1"/>
    <xf numFmtId="2" fontId="4" fillId="2" borderId="0" xfId="2" applyNumberFormat="1" applyFont="1" applyFill="1"/>
    <xf numFmtId="0" fontId="11" fillId="5" borderId="3" xfId="2" applyFont="1" applyFill="1" applyBorder="1" applyAlignment="1">
      <alignment horizontal="center"/>
    </xf>
    <xf numFmtId="0" fontId="11" fillId="8" borderId="3" xfId="2" applyFont="1" applyFill="1" applyBorder="1" applyAlignment="1">
      <alignment horizontal="center"/>
    </xf>
  </cellXfs>
  <cellStyles count="4">
    <cellStyle name="Hyperlink" xfId="1" builtinId="8"/>
    <cellStyle name="Normal" xfId="0" builtinId="0"/>
    <cellStyle name="Normal_AcadEng1" xfId="2" xr:uid="{00000000-0005-0000-0000-000002000000}"/>
    <cellStyle name="Normal_E-08P-final survey" xfId="3" xr:uid="{00000000-0005-0000-0000-000003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6350</xdr:colOff>
      <xdr:row>12</xdr:row>
      <xdr:rowOff>19050</xdr:rowOff>
    </xdr:from>
    <xdr:to>
      <xdr:col>7</xdr:col>
      <xdr:colOff>31750</xdr:colOff>
      <xdr:row>27</xdr:row>
      <xdr:rowOff>44450</xdr:rowOff>
    </xdr:to>
    <xdr:sp macro="" textlink="">
      <xdr:nvSpPr>
        <xdr:cNvPr id="2" name="Rectangle 1">
          <a:extLst>
            <a:ext uri="{FF2B5EF4-FFF2-40B4-BE49-F238E27FC236}">
              <a16:creationId xmlns:a16="http://schemas.microsoft.com/office/drawing/2014/main" id="{7549B23C-E9CE-E4A1-1283-739A0BC2EFAB}"/>
            </a:ext>
          </a:extLst>
        </xdr:cNvPr>
        <xdr:cNvSpPr/>
      </xdr:nvSpPr>
      <xdr:spPr>
        <a:xfrm>
          <a:off x="228600" y="2032000"/>
          <a:ext cx="3848100" cy="2406650"/>
        </a:xfrm>
        <a:prstGeom prst="rect">
          <a:avLst/>
        </a:prstGeom>
        <a:noFill/>
        <a:ln w="38100">
          <a:solidFill>
            <a:srgbClr val="FF0000"/>
          </a:solidFill>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552449</xdr:colOff>
      <xdr:row>9</xdr:row>
      <xdr:rowOff>107951</xdr:rowOff>
    </xdr:from>
    <xdr:to>
      <xdr:col>7</xdr:col>
      <xdr:colOff>336550</xdr:colOff>
      <xdr:row>12</xdr:row>
      <xdr:rowOff>95251</xdr:rowOff>
    </xdr:to>
    <xdr:sp macro="" textlink="">
      <xdr:nvSpPr>
        <xdr:cNvPr id="40961" name="Line 1">
          <a:extLst>
            <a:ext uri="{FF2B5EF4-FFF2-40B4-BE49-F238E27FC236}">
              <a16:creationId xmlns:a16="http://schemas.microsoft.com/office/drawing/2014/main" id="{00000000-0008-0000-0200-000001A00000}"/>
            </a:ext>
          </a:extLst>
        </xdr:cNvPr>
        <xdr:cNvSpPr>
          <a:spLocks noChangeShapeType="1"/>
        </xdr:cNvSpPr>
      </xdr:nvSpPr>
      <xdr:spPr bwMode="auto">
        <a:xfrm flipH="1">
          <a:off x="3600449" y="1657351"/>
          <a:ext cx="1003301" cy="482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590549</xdr:colOff>
      <xdr:row>10</xdr:row>
      <xdr:rowOff>95250</xdr:rowOff>
    </xdr:from>
    <xdr:to>
      <xdr:col>8</xdr:col>
      <xdr:colOff>6349</xdr:colOff>
      <xdr:row>12</xdr:row>
      <xdr:rowOff>130175</xdr:rowOff>
    </xdr:to>
    <xdr:sp macro="" textlink="">
      <xdr:nvSpPr>
        <xdr:cNvPr id="40964" name="Line 4">
          <a:extLst>
            <a:ext uri="{FF2B5EF4-FFF2-40B4-BE49-F238E27FC236}">
              <a16:creationId xmlns:a16="http://schemas.microsoft.com/office/drawing/2014/main" id="{00000000-0008-0000-0200-000004A00000}"/>
            </a:ext>
          </a:extLst>
        </xdr:cNvPr>
        <xdr:cNvSpPr>
          <a:spLocks noChangeShapeType="1"/>
        </xdr:cNvSpPr>
      </xdr:nvSpPr>
      <xdr:spPr bwMode="auto">
        <a:xfrm flipH="1">
          <a:off x="4248149" y="1809750"/>
          <a:ext cx="400050" cy="3651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12700</xdr:colOff>
      <xdr:row>55</xdr:row>
      <xdr:rowOff>139700</xdr:rowOff>
    </xdr:from>
    <xdr:to>
      <xdr:col>14</xdr:col>
      <xdr:colOff>222250</xdr:colOff>
      <xdr:row>60</xdr:row>
      <xdr:rowOff>127000</xdr:rowOff>
    </xdr:to>
    <xdr:sp macro="" textlink="">
      <xdr:nvSpPr>
        <xdr:cNvPr id="2" name="TextBox 1">
          <a:extLst>
            <a:ext uri="{FF2B5EF4-FFF2-40B4-BE49-F238E27FC236}">
              <a16:creationId xmlns:a16="http://schemas.microsoft.com/office/drawing/2014/main" id="{6A1A3657-8862-265E-C2CA-B4D3ED1D84FB}"/>
            </a:ext>
          </a:extLst>
        </xdr:cNvPr>
        <xdr:cNvSpPr txBox="1"/>
      </xdr:nvSpPr>
      <xdr:spPr>
        <a:xfrm>
          <a:off x="920750" y="8477250"/>
          <a:ext cx="6305550" cy="781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200" b="1" i="0">
              <a:solidFill>
                <a:schemeClr val="dk1"/>
              </a:solidFill>
              <a:effectLst/>
              <a:latin typeface="+mn-lt"/>
              <a:ea typeface="+mn-ea"/>
              <a:cs typeface="+mn-cs"/>
            </a:rPr>
            <a:t>Ctrl + Alt + F9 </a:t>
          </a:r>
          <a:r>
            <a:rPr lang="en-US" sz="1200" b="0" i="0">
              <a:solidFill>
                <a:schemeClr val="dk1"/>
              </a:solidFill>
              <a:effectLst/>
              <a:latin typeface="+mn-lt"/>
              <a:ea typeface="+mn-ea"/>
              <a:cs typeface="+mn-cs"/>
            </a:rPr>
            <a:t>forces Excel to recalculate absolutely all formulas in all open workbooks, even those that have not been changed. When you have the feeling that some formulas are showing incorrect results, use this shortcut to make sure everything has been recalculated.</a:t>
          </a:r>
        </a:p>
        <a:p>
          <a:endParaRPr lang="en-US" sz="12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drillingformulas.com/minimum-curvature-method/" TargetMode="External"/><Relationship Id="rId1" Type="http://schemas.openxmlformats.org/officeDocument/2006/relationships/hyperlink" Target="https://trantuanlam.github.io/MinimumCurvature/"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hyperlink" Target="https://trantuanlam.github.io/MinimumCurvature/" TargetMode="Externa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trantuanlam.github.io/MinimumCurvature/"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0">
    <tabColor indexed="12"/>
  </sheetPr>
  <dimension ref="B1:J148"/>
  <sheetViews>
    <sheetView tabSelected="1" zoomScaleNormal="100" zoomScaleSheetLayoutView="100" workbookViewId="0">
      <selection activeCell="O16" sqref="O16"/>
    </sheetView>
  </sheetViews>
  <sheetFormatPr defaultColWidth="9.21875" defaultRowHeight="13.2"/>
  <cols>
    <col min="1" max="1" width="3.21875" style="1" customWidth="1"/>
    <col min="2" max="2" width="8.21875" style="1" customWidth="1"/>
    <col min="3" max="3" width="10.5546875" style="1" customWidth="1"/>
    <col min="4" max="4" width="8.44140625" style="1" customWidth="1"/>
    <col min="5" max="7" width="9.21875" style="1"/>
    <col min="8" max="8" width="10.5546875" style="1" bestFit="1" customWidth="1"/>
    <col min="9" max="9" width="21.21875" style="1" customWidth="1"/>
    <col min="10" max="10" width="6.5546875" style="1" customWidth="1"/>
    <col min="11" max="11" width="6.21875" style="1" customWidth="1"/>
    <col min="12" max="12" width="5.77734375" style="1" customWidth="1"/>
    <col min="13" max="13" width="6.21875" style="1" customWidth="1"/>
    <col min="14" max="14" width="10.77734375" style="1" customWidth="1"/>
    <col min="15" max="16384" width="9.21875" style="1"/>
  </cols>
  <sheetData>
    <row r="1" spans="2:9">
      <c r="B1" s="41" t="s">
        <v>35</v>
      </c>
      <c r="G1" s="75" t="s">
        <v>61</v>
      </c>
    </row>
    <row r="2" spans="2:9">
      <c r="B2" s="41"/>
      <c r="H2" s="75"/>
    </row>
    <row r="3" spans="2:9" ht="17.399999999999999">
      <c r="B3" s="15" t="s">
        <v>68</v>
      </c>
    </row>
    <row r="4" spans="2:9">
      <c r="B4" s="8" t="s">
        <v>11</v>
      </c>
      <c r="C4" s="80" t="s">
        <v>12</v>
      </c>
    </row>
    <row r="5" spans="2:9">
      <c r="B5" s="8"/>
      <c r="C5" s="3"/>
    </row>
    <row r="6" spans="2:9">
      <c r="H6" s="79" t="s">
        <v>14</v>
      </c>
    </row>
    <row r="7" spans="2:9">
      <c r="G7" s="78" t="s">
        <v>69</v>
      </c>
      <c r="H7" s="76"/>
    </row>
    <row r="8" spans="2:9" ht="15">
      <c r="B8" s="25" t="s">
        <v>26</v>
      </c>
    </row>
    <row r="9" spans="2:9">
      <c r="B9" s="18"/>
      <c r="C9" s="18"/>
      <c r="D9" s="18"/>
      <c r="E9" s="18"/>
      <c r="F9" s="81" t="s">
        <v>17</v>
      </c>
      <c r="G9" s="81"/>
      <c r="H9" s="18"/>
      <c r="I9" s="19"/>
    </row>
    <row r="10" spans="2:9">
      <c r="B10" s="20" t="s">
        <v>1</v>
      </c>
      <c r="C10" s="20" t="s">
        <v>16</v>
      </c>
      <c r="D10" s="20" t="s">
        <v>2</v>
      </c>
      <c r="E10" s="20" t="s">
        <v>0</v>
      </c>
      <c r="F10" s="20" t="s">
        <v>3</v>
      </c>
      <c r="G10" s="20" t="s">
        <v>4</v>
      </c>
      <c r="H10" s="20" t="s">
        <v>5</v>
      </c>
      <c r="I10" s="20" t="s">
        <v>13</v>
      </c>
    </row>
    <row r="11" spans="2:9">
      <c r="B11" s="20"/>
      <c r="C11" s="20"/>
      <c r="D11" s="20"/>
      <c r="E11" s="20"/>
      <c r="F11" s="20" t="s">
        <v>6</v>
      </c>
      <c r="G11" s="20" t="s">
        <v>6</v>
      </c>
      <c r="H11" s="20" t="s">
        <v>9</v>
      </c>
      <c r="I11" s="21"/>
    </row>
    <row r="12" spans="2:9">
      <c r="B12" s="22" t="s">
        <v>7</v>
      </c>
      <c r="C12" s="22" t="s">
        <v>8</v>
      </c>
      <c r="D12" s="22" t="s">
        <v>8</v>
      </c>
      <c r="E12" s="22" t="s">
        <v>7</v>
      </c>
      <c r="F12" s="22" t="s">
        <v>7</v>
      </c>
      <c r="G12" s="22" t="s">
        <v>7</v>
      </c>
      <c r="H12" s="22"/>
      <c r="I12" s="23"/>
    </row>
    <row r="13" spans="2:9">
      <c r="B13" s="11">
        <v>0</v>
      </c>
      <c r="C13" s="11">
        <v>0</v>
      </c>
      <c r="D13" s="16">
        <v>300</v>
      </c>
      <c r="E13" s="11">
        <v>0</v>
      </c>
      <c r="F13" s="11">
        <v>0</v>
      </c>
      <c r="G13" s="11">
        <v>0</v>
      </c>
      <c r="H13" s="6" t="s">
        <v>74</v>
      </c>
      <c r="I13" s="6"/>
    </row>
    <row r="14" spans="2:9">
      <c r="B14" s="12">
        <v>200</v>
      </c>
      <c r="C14" s="17">
        <v>0</v>
      </c>
      <c r="D14" s="17">
        <v>300</v>
      </c>
      <c r="E14" s="13">
        <f>E13+mcVertical(C13,C14,D13,D14,B14-B13)</f>
        <v>200</v>
      </c>
      <c r="F14" s="13">
        <f>F13+mcNorth(C13,C14,D13,D14,B14-B13)</f>
        <v>0</v>
      </c>
      <c r="G14" s="13">
        <f>G13+mcEast(C13,C14,D13,D14,B14-B13)</f>
        <v>0</v>
      </c>
      <c r="H14" s="14">
        <f>DLS30Deg(C13,C14,D14-D13,B14-B13)</f>
        <v>0</v>
      </c>
      <c r="I14" s="7"/>
    </row>
    <row r="15" spans="2:9">
      <c r="B15" s="12">
        <v>300</v>
      </c>
      <c r="C15" s="17">
        <v>5</v>
      </c>
      <c r="D15" s="17">
        <v>300</v>
      </c>
      <c r="E15" s="13">
        <f t="shared" ref="E15:E26" si="0">E14+mcVertical(C14,C15,D14,D15,B15-B14)</f>
        <v>299.87312439537493</v>
      </c>
      <c r="F15" s="13">
        <f t="shared" ref="F15:F26" si="1">F14+mcNorth(C14,C15,D14,D15,B15-B14)</f>
        <v>2.1802773911605944</v>
      </c>
      <c r="G15" s="13">
        <f t="shared" ref="G15:G26" si="2">G14+mcEast(C14,C15,D14,D15,B15-B14)</f>
        <v>-3.7763512160838713</v>
      </c>
      <c r="H15" s="14">
        <f t="shared" ref="H15:H26" si="3">DLS30Deg(C14,C15,D15-D14,B15-B14)</f>
        <v>1.5</v>
      </c>
      <c r="I15" s="7"/>
    </row>
    <row r="16" spans="2:9">
      <c r="B16" s="12">
        <v>330</v>
      </c>
      <c r="C16" s="17">
        <v>3.4999999999999938</v>
      </c>
      <c r="D16" s="17">
        <v>300</v>
      </c>
      <c r="E16" s="13">
        <f t="shared" si="0"/>
        <v>329.78977557505289</v>
      </c>
      <c r="F16" s="13">
        <f t="shared" si="1"/>
        <v>3.291872998639557</v>
      </c>
      <c r="G16" s="13">
        <f t="shared" si="2"/>
        <v>-5.7016912857078248</v>
      </c>
      <c r="H16" s="14">
        <f t="shared" si="3"/>
        <v>1.500000000000006</v>
      </c>
      <c r="I16" s="7"/>
    </row>
    <row r="17" spans="2:10">
      <c r="B17" s="12">
        <v>400</v>
      </c>
      <c r="C17" s="17">
        <v>0</v>
      </c>
      <c r="D17" s="17">
        <v>0</v>
      </c>
      <c r="E17" s="13">
        <f t="shared" si="0"/>
        <v>399.74624879074986</v>
      </c>
      <c r="F17" s="13">
        <f t="shared" si="1"/>
        <v>4.3605547823211861</v>
      </c>
      <c r="G17" s="13">
        <f t="shared" si="2"/>
        <v>-7.5527024321677381</v>
      </c>
      <c r="H17" s="14">
        <f t="shared" si="3"/>
        <v>1.4999999999999776</v>
      </c>
      <c r="I17" s="7"/>
    </row>
    <row r="18" spans="2:10" s="5" customFormat="1">
      <c r="B18" s="12">
        <v>2030</v>
      </c>
      <c r="C18" s="17">
        <v>0</v>
      </c>
      <c r="D18" s="17">
        <v>270.12679562306926</v>
      </c>
      <c r="E18" s="13">
        <f t="shared" si="0"/>
        <v>2029.7462487907499</v>
      </c>
      <c r="F18" s="13">
        <f t="shared" si="1"/>
        <v>4.3605547823211861</v>
      </c>
      <c r="G18" s="13">
        <f t="shared" si="2"/>
        <v>-7.5527024321677381</v>
      </c>
      <c r="H18" s="14">
        <f t="shared" si="3"/>
        <v>0</v>
      </c>
      <c r="I18" s="40"/>
    </row>
    <row r="19" spans="2:10" s="5" customFormat="1">
      <c r="B19" s="12">
        <v>2229.8148355620096</v>
      </c>
      <c r="C19" s="17">
        <v>10</v>
      </c>
      <c r="D19" s="17">
        <v>270.12679562306926</v>
      </c>
      <c r="E19" s="13">
        <f t="shared" si="0"/>
        <v>2228.5481770029351</v>
      </c>
      <c r="F19" s="13">
        <f t="shared" si="1"/>
        <v>4.3990452909381972</v>
      </c>
      <c r="G19" s="13">
        <f t="shared" si="2"/>
        <v>-24.94557484804216</v>
      </c>
      <c r="H19" s="14">
        <f t="shared" si="3"/>
        <v>1.5013900201964701</v>
      </c>
      <c r="I19" s="40"/>
    </row>
    <row r="20" spans="2:10" s="5" customFormat="1">
      <c r="B20" s="12">
        <v>2312.6615373514351</v>
      </c>
      <c r="C20" s="17">
        <v>14.133076867571539</v>
      </c>
      <c r="D20" s="17">
        <v>270.12679562306926</v>
      </c>
      <c r="E20" s="13">
        <f t="shared" si="0"/>
        <v>2309.5468570944158</v>
      </c>
      <c r="F20" s="13">
        <f t="shared" si="1"/>
        <v>4.4373636837506867</v>
      </c>
      <c r="G20" s="13">
        <f t="shared" si="2"/>
        <v>-42.260672551750581</v>
      </c>
      <c r="H20" s="14">
        <f t="shared" si="3"/>
        <v>1.4966474627113349</v>
      </c>
      <c r="I20" s="40"/>
    </row>
    <row r="21" spans="2:10" s="5" customFormat="1">
      <c r="B21" s="12">
        <v>2350.4259382688797</v>
      </c>
      <c r="C21" s="17">
        <v>16.021296913443742</v>
      </c>
      <c r="D21" s="17">
        <v>270.12679562306926</v>
      </c>
      <c r="E21" s="13">
        <f t="shared" si="0"/>
        <v>2346.009616660207</v>
      </c>
      <c r="F21" s="13">
        <f t="shared" si="1"/>
        <v>4.4591016087734507</v>
      </c>
      <c r="G21" s="13">
        <f t="shared" si="2"/>
        <v>-52.083482644202292</v>
      </c>
      <c r="H21" s="14">
        <f t="shared" si="3"/>
        <v>1.4999999999999787</v>
      </c>
      <c r="I21" s="40"/>
    </row>
    <row r="22" spans="2:10" s="5" customFormat="1">
      <c r="B22" s="12">
        <v>2881.8038894327046</v>
      </c>
      <c r="C22" s="17">
        <v>16.021296913443742</v>
      </c>
      <c r="D22" s="17">
        <v>270.12679562306926</v>
      </c>
      <c r="E22" s="13">
        <f t="shared" si="0"/>
        <v>2856.7484096988983</v>
      </c>
      <c r="F22" s="13">
        <f t="shared" si="1"/>
        <v>4.7836544769063991</v>
      </c>
      <c r="G22" s="13">
        <f t="shared" si="2"/>
        <v>-198.7405893041973</v>
      </c>
      <c r="H22" s="14">
        <f t="shared" si="3"/>
        <v>0</v>
      </c>
      <c r="I22" s="40"/>
    </row>
    <row r="23" spans="2:10" s="5" customFormat="1">
      <c r="B23" s="12">
        <v>3517.0287916216407</v>
      </c>
      <c r="C23" s="17">
        <v>36</v>
      </c>
      <c r="D23" s="17">
        <v>191.30999755859375</v>
      </c>
      <c r="E23" s="13">
        <f t="shared" si="0"/>
        <v>3438.231262291682</v>
      </c>
      <c r="F23" s="13">
        <f t="shared" si="1"/>
        <v>-184.34697878646847</v>
      </c>
      <c r="G23" s="13">
        <f t="shared" si="2"/>
        <v>-327.26796188967728</v>
      </c>
      <c r="H23" s="14">
        <f t="shared" si="3"/>
        <v>1.7000000000000002</v>
      </c>
      <c r="I23" s="40"/>
    </row>
    <row r="24" spans="2:10" s="5" customFormat="1">
      <c r="B24" s="12">
        <v>3572.0287916216407</v>
      </c>
      <c r="C24" s="17">
        <v>36</v>
      </c>
      <c r="D24" s="17">
        <v>191.30999755859375</v>
      </c>
      <c r="E24" s="13">
        <f t="shared" si="0"/>
        <v>3482.7271969823041</v>
      </c>
      <c r="F24" s="13">
        <f t="shared" si="1"/>
        <v>-216.04736887647366</v>
      </c>
      <c r="G24" s="13">
        <f t="shared" si="2"/>
        <v>-333.60807735782089</v>
      </c>
      <c r="H24" s="14">
        <f t="shared" si="3"/>
        <v>0</v>
      </c>
      <c r="I24" s="40"/>
    </row>
    <row r="25" spans="2:10" s="5" customFormat="1">
      <c r="B25" s="12">
        <v>3918.5383080995998</v>
      </c>
      <c r="C25" s="17">
        <v>70.650951647412697</v>
      </c>
      <c r="D25" s="17">
        <v>191.30978538229226</v>
      </c>
      <c r="E25" s="13">
        <f t="shared" si="0"/>
        <v>3686.5468570953726</v>
      </c>
      <c r="F25" s="13">
        <f t="shared" si="1"/>
        <v>-484.43132801986019</v>
      </c>
      <c r="G25" s="13">
        <f t="shared" si="2"/>
        <v>-387.28454937606625</v>
      </c>
      <c r="H25" s="14">
        <f t="shared" si="3"/>
        <v>2.9999999999999978</v>
      </c>
      <c r="I25" s="40"/>
    </row>
    <row r="26" spans="2:10" s="5" customFormat="1">
      <c r="B26" s="12">
        <v>3950</v>
      </c>
      <c r="C26" s="17">
        <v>73.65289257405972</v>
      </c>
      <c r="D26" s="17">
        <v>191.30977341131418</v>
      </c>
      <c r="E26" s="13">
        <f t="shared" si="0"/>
        <v>3696.1885785725303</v>
      </c>
      <c r="F26" s="13">
        <f t="shared" si="1"/>
        <v>-513.79394503841468</v>
      </c>
      <c r="G26" s="13">
        <f t="shared" si="2"/>
        <v>-393.15699116683339</v>
      </c>
      <c r="H26" s="14">
        <f t="shared" si="3"/>
        <v>2.8624724978289295</v>
      </c>
      <c r="I26" s="40"/>
    </row>
    <row r="27" spans="2:10" s="5" customFormat="1">
      <c r="B27" s="12"/>
      <c r="C27" s="17"/>
      <c r="D27" s="17"/>
      <c r="E27" s="13"/>
      <c r="F27" s="13"/>
      <c r="G27" s="13"/>
      <c r="H27" s="14"/>
      <c r="I27" s="1" t="s">
        <v>55</v>
      </c>
    </row>
    <row r="28" spans="2:10" s="5" customFormat="1"/>
    <row r="29" spans="2:10" s="5" customFormat="1"/>
    <row r="30" spans="2:10" s="5" customFormat="1"/>
    <row r="31" spans="2:10" ht="15">
      <c r="B31" s="56" t="s">
        <v>73</v>
      </c>
      <c r="J31"/>
    </row>
    <row r="32" spans="2:10">
      <c r="B32" s="64"/>
      <c r="C32" s="64"/>
      <c r="D32" s="64"/>
      <c r="E32" s="64"/>
      <c r="F32" s="82" t="s">
        <v>17</v>
      </c>
      <c r="G32" s="82"/>
      <c r="H32" s="64"/>
      <c r="I32" s="65"/>
    </row>
    <row r="33" spans="2:10">
      <c r="B33" s="66" t="s">
        <v>1</v>
      </c>
      <c r="C33" s="66" t="s">
        <v>16</v>
      </c>
      <c r="D33" s="66" t="s">
        <v>2</v>
      </c>
      <c r="E33" s="66" t="s">
        <v>0</v>
      </c>
      <c r="F33" s="66" t="s">
        <v>3</v>
      </c>
      <c r="G33" s="66" t="s">
        <v>4</v>
      </c>
      <c r="H33" s="66" t="s">
        <v>5</v>
      </c>
      <c r="I33" s="66" t="s">
        <v>13</v>
      </c>
    </row>
    <row r="34" spans="2:10">
      <c r="B34" s="66"/>
      <c r="C34" s="66"/>
      <c r="D34" s="66"/>
      <c r="E34" s="66"/>
      <c r="F34" s="66" t="s">
        <v>6</v>
      </c>
      <c r="G34" s="66" t="s">
        <v>6</v>
      </c>
      <c r="H34" s="66" t="s">
        <v>9</v>
      </c>
      <c r="I34" s="67"/>
    </row>
    <row r="35" spans="2:10">
      <c r="B35" s="68" t="s">
        <v>7</v>
      </c>
      <c r="C35" s="68" t="s">
        <v>8</v>
      </c>
      <c r="D35" s="68" t="s">
        <v>8</v>
      </c>
      <c r="E35" s="68" t="s">
        <v>7</v>
      </c>
      <c r="F35" s="68" t="s">
        <v>7</v>
      </c>
      <c r="G35" s="68" t="s">
        <v>7</v>
      </c>
      <c r="H35" s="68"/>
      <c r="I35" s="69"/>
    </row>
    <row r="36" spans="2:10">
      <c r="B36" s="13">
        <f>mcGetMDfromTVD($B$13:$D$27, E36)</f>
        <v>1500.2537512092501</v>
      </c>
      <c r="C36" s="13">
        <f>mcGetInclinationfromTVD($B$13:$D$27, E36)</f>
        <v>0</v>
      </c>
      <c r="D36" s="13">
        <f>mcGetAzimuthfromTVD($B$13:$D$27, E36)</f>
        <v>0</v>
      </c>
      <c r="E36" s="35">
        <v>1500</v>
      </c>
      <c r="F36" s="38">
        <f>mcGetNorthfromtvD($B$13:$D$27, E36)</f>
        <v>4.3605547823211861</v>
      </c>
      <c r="G36" s="38">
        <f>mcGetEastfromtvd($B$13:$D$27, E36)</f>
        <v>-7.5527024321677381</v>
      </c>
      <c r="H36" s="13">
        <f>mcGetDLS30fromTVD($B$13:$D$27, E36)</f>
        <v>0</v>
      </c>
      <c r="I36" s="7"/>
      <c r="J36"/>
    </row>
    <row r="37" spans="2:10">
      <c r="B37" s="13">
        <f>mcGetMDfromTVD($B$13:$D$27, E37)</f>
        <v>2926.7625846595711</v>
      </c>
      <c r="C37" s="13">
        <f>mcGetInclinationfromTVD($B$13:$D$27, E37)</f>
        <v>15.723058373400281</v>
      </c>
      <c r="D37" s="13">
        <f>mcGetAzimuthfromTVD($B$13:$D$27, E37)</f>
        <v>260.86582775438768</v>
      </c>
      <c r="E37" s="35">
        <v>2900</v>
      </c>
      <c r="F37" s="38">
        <f>mcGetNorthfromtvD($B$13:$D$27, E37)</f>
        <v>3.8301995094171684</v>
      </c>
      <c r="G37" s="38">
        <f>mcGetEastfromtvd($B$13:$D$27, E37)</f>
        <v>-210.9611511405011</v>
      </c>
      <c r="H37" s="13">
        <f>mcGetDLS30fromTVD($B$13:$D$27, E37)</f>
        <v>1.6999999999999766</v>
      </c>
      <c r="I37" s="7"/>
      <c r="J37"/>
    </row>
    <row r="38" spans="2:10">
      <c r="B38" s="35">
        <f>B36</f>
        <v>1500.2537512092501</v>
      </c>
      <c r="C38" s="13">
        <f>mcGetInclinationfromMD(B$13:D$27, B38)</f>
        <v>0</v>
      </c>
      <c r="D38" s="13">
        <f>mcGetAzimuthfromMD(B$13:D$27, B38)</f>
        <v>0</v>
      </c>
      <c r="E38" s="13">
        <f>mcGetTVDfromMD(B$13:D$27, B38)</f>
        <v>1500</v>
      </c>
      <c r="F38" s="13">
        <f>mcGetNorthfromMD(B$13:D$27,B38)</f>
        <v>4.3605547823211861</v>
      </c>
      <c r="G38" s="13">
        <f>mcGetEastfromMD(B$13,B38)</f>
        <v>-7.5527024321677381</v>
      </c>
      <c r="H38" s="13">
        <f>mcGetDLS30fromMD(B$13,B38)</f>
        <v>0</v>
      </c>
      <c r="I38" s="39"/>
      <c r="J38"/>
    </row>
    <row r="39" spans="2:10">
      <c r="B39" s="53">
        <v>1900</v>
      </c>
      <c r="C39" s="13">
        <f>mcGetInclinationfromMD(B$13:D$27, B39)</f>
        <v>0</v>
      </c>
      <c r="D39" s="13">
        <f>mcGetAzimuthfromMD(B$13:D$27, B39)</f>
        <v>0</v>
      </c>
      <c r="E39" s="13">
        <f>mcGetTVDfromMD(B$13:D$27, B39)</f>
        <v>1899.7462487907499</v>
      </c>
      <c r="F39" s="13">
        <f>mcGetNorthfromMD(B$13:D$27,B39)</f>
        <v>4.3605547823211861</v>
      </c>
      <c r="G39" s="13">
        <f>mcGetEastfromMD(B$13,B39)</f>
        <v>-7.5527024321677381</v>
      </c>
      <c r="H39" s="13">
        <f>mcGetDLS30fromMD(B$13,B39)</f>
        <v>0</v>
      </c>
      <c r="I39" s="39"/>
      <c r="J39"/>
    </row>
    <row r="40" spans="2:10">
      <c r="B40" s="53">
        <v>3500</v>
      </c>
      <c r="C40" s="13">
        <f>mcGetInclinationfromMD(B$13:D$27, B40)</f>
        <v>35.145960892995504</v>
      </c>
      <c r="D40" s="13">
        <f>mcGetAzimuthfromMD(B$13:D$27, B40)</f>
        <v>192.08220550012891</v>
      </c>
      <c r="E40" s="13">
        <f>mcGetTVDfromMD(B$13:D$27, B40)</f>
        <v>3424.3805229799032</v>
      </c>
      <c r="F40" s="13">
        <f>mcGetNorthfromMD(B$13:D$27,B40)</f>
        <v>-174.64646686684992</v>
      </c>
      <c r="G40" s="13">
        <f>mcGetEastfromMD(B$13,B40)</f>
        <v>-325.26048116594177</v>
      </c>
      <c r="H40" s="13">
        <f>mcGetDLS30fromMD(B$13,B40)</f>
        <v>1.7</v>
      </c>
      <c r="I40" s="39"/>
      <c r="J40"/>
    </row>
    <row r="41" spans="2:10">
      <c r="B41" s="53">
        <v>2201</v>
      </c>
      <c r="C41" s="13">
        <f>mcGetInclinationfromMD(B$13:D$27, B41)</f>
        <v>8.5579231151198663</v>
      </c>
      <c r="D41" s="13">
        <f>mcGetAzimuthfromMD(B$13:D$27, B41)</f>
        <v>270.12679562306926</v>
      </c>
      <c r="E41" s="13">
        <f>mcGetTVDfromMD(B$13:D$27, B41)</f>
        <v>2200.1111344827718</v>
      </c>
      <c r="F41" s="13">
        <f>mcGetNorthfromMD(B$13:D$27,B41)</f>
        <v>4.3887636450229524</v>
      </c>
      <c r="G41" s="13">
        <f>mcGetEastfromMD(B$13,B41)</f>
        <v>-20.299563089444142</v>
      </c>
      <c r="H41" s="13">
        <f>mcGetDLS30fromMD(B$13,B41)</f>
        <v>1.5013900201964676</v>
      </c>
      <c r="I41" s="7"/>
      <c r="J41"/>
    </row>
    <row r="42" spans="2:10" s="5" customFormat="1">
      <c r="J42" s="1"/>
    </row>
    <row r="43" spans="2:10">
      <c r="B43" s="3"/>
      <c r="C43" s="3"/>
      <c r="D43" s="3"/>
      <c r="E43" s="4"/>
      <c r="F43" s="4"/>
      <c r="G43" s="4"/>
      <c r="H43" s="2"/>
    </row>
    <row r="44" spans="2:10">
      <c r="B44" s="3"/>
      <c r="C44" s="3"/>
      <c r="D44" s="3"/>
      <c r="E44" s="4"/>
      <c r="F44" s="4"/>
      <c r="G44" s="4"/>
      <c r="H44" s="2"/>
    </row>
    <row r="45" spans="2:10">
      <c r="B45" s="3"/>
      <c r="C45" s="3"/>
      <c r="D45" s="3"/>
      <c r="E45" s="4"/>
      <c r="F45" s="4"/>
      <c r="G45" s="4"/>
      <c r="H45" s="2"/>
    </row>
    <row r="46" spans="2:10">
      <c r="B46" s="8" t="s">
        <v>67</v>
      </c>
      <c r="C46" s="3"/>
      <c r="D46" s="75" t="s">
        <v>70</v>
      </c>
      <c r="E46" s="4"/>
      <c r="F46" s="4"/>
      <c r="G46" s="4"/>
      <c r="H46" s="2"/>
    </row>
    <row r="47" spans="2:10">
      <c r="B47" s="18"/>
      <c r="C47" s="18"/>
      <c r="D47" s="18"/>
      <c r="E47" s="18"/>
      <c r="F47" s="81" t="s">
        <v>17</v>
      </c>
      <c r="G47" s="81"/>
      <c r="H47" s="18"/>
      <c r="I47" s="19"/>
    </row>
    <row r="48" spans="2:10">
      <c r="B48" s="20" t="s">
        <v>1</v>
      </c>
      <c r="C48" s="20" t="s">
        <v>16</v>
      </c>
      <c r="D48" s="20" t="s">
        <v>2</v>
      </c>
      <c r="E48" s="20" t="s">
        <v>0</v>
      </c>
      <c r="F48" s="20" t="s">
        <v>3</v>
      </c>
      <c r="G48" s="20" t="s">
        <v>4</v>
      </c>
      <c r="H48" s="20" t="s">
        <v>5</v>
      </c>
      <c r="I48" s="20" t="s">
        <v>13</v>
      </c>
    </row>
    <row r="49" spans="2:9">
      <c r="B49" s="20"/>
      <c r="C49" s="20"/>
      <c r="D49" s="20"/>
      <c r="E49" s="20"/>
      <c r="F49" s="20" t="s">
        <v>6</v>
      </c>
      <c r="G49" s="20" t="s">
        <v>6</v>
      </c>
      <c r="H49" s="20" t="s">
        <v>72</v>
      </c>
      <c r="I49" s="21"/>
    </row>
    <row r="50" spans="2:9">
      <c r="B50" s="22" t="s">
        <v>71</v>
      </c>
      <c r="C50" s="22" t="s">
        <v>8</v>
      </c>
      <c r="D50" s="22" t="s">
        <v>8</v>
      </c>
      <c r="E50" s="22" t="s">
        <v>71</v>
      </c>
      <c r="F50" s="22" t="s">
        <v>71</v>
      </c>
      <c r="G50" s="22" t="s">
        <v>71</v>
      </c>
      <c r="H50" s="22"/>
      <c r="I50" s="23"/>
    </row>
    <row r="51" spans="2:9">
      <c r="B51" s="11">
        <v>3500</v>
      </c>
      <c r="C51" s="11">
        <v>15</v>
      </c>
      <c r="D51" s="16">
        <v>20</v>
      </c>
      <c r="E51" s="11">
        <v>0</v>
      </c>
      <c r="F51" s="11">
        <v>0</v>
      </c>
      <c r="G51" s="11">
        <v>0</v>
      </c>
      <c r="H51" s="6">
        <v>0</v>
      </c>
      <c r="I51" s="6"/>
    </row>
    <row r="52" spans="2:9">
      <c r="B52" s="12">
        <v>3600</v>
      </c>
      <c r="C52" s="17">
        <v>25</v>
      </c>
      <c r="D52" s="17">
        <v>45</v>
      </c>
      <c r="E52" s="13">
        <f>E51+ mcVertical(C51,C52,D51,D52,B52-B51)</f>
        <v>94.012343232161072</v>
      </c>
      <c r="F52" s="13">
        <f>F51+mcNorth(C51,C52,D51,D52,B52-B51)</f>
        <v>27.218328569754359</v>
      </c>
      <c r="G52" s="13">
        <f>G51+mcEast(C51,C52,D51,D52,B52-B51)</f>
        <v>19.450773746677282</v>
      </c>
      <c r="H52" s="14">
        <f>DLS30Deg(C51,C52,D52-D51,B52-B51)</f>
        <v>3.8854952172384563</v>
      </c>
      <c r="I52" s="7"/>
    </row>
    <row r="53" spans="2:9">
      <c r="B53" s="3"/>
      <c r="C53" s="3"/>
      <c r="D53" s="3"/>
      <c r="E53" s="4"/>
      <c r="F53" s="4"/>
      <c r="G53" s="4"/>
      <c r="H53" s="2"/>
    </row>
    <row r="54" spans="2:9">
      <c r="B54" s="3"/>
      <c r="C54" s="3"/>
      <c r="D54" s="3"/>
      <c r="E54" s="4"/>
      <c r="F54" s="4"/>
      <c r="G54" s="4"/>
      <c r="H54" s="2"/>
    </row>
    <row r="55" spans="2:9">
      <c r="B55" s="3"/>
      <c r="C55" s="3"/>
      <c r="D55" s="3"/>
      <c r="E55" s="4"/>
      <c r="F55" s="4"/>
      <c r="G55" s="4"/>
      <c r="H55" s="2"/>
    </row>
    <row r="56" spans="2:9">
      <c r="B56" s="3"/>
      <c r="C56" s="3"/>
      <c r="D56" s="3"/>
      <c r="E56" s="4"/>
      <c r="F56" s="4"/>
      <c r="G56" s="4"/>
      <c r="H56" s="2"/>
    </row>
    <row r="57" spans="2:9">
      <c r="B57" s="3"/>
      <c r="C57" s="3"/>
      <c r="D57" s="3"/>
      <c r="E57" s="4"/>
      <c r="F57" s="4"/>
      <c r="G57" s="4"/>
      <c r="H57" s="2"/>
    </row>
    <row r="58" spans="2:9">
      <c r="B58" s="3"/>
      <c r="C58" s="3"/>
      <c r="D58" s="3"/>
      <c r="E58" s="4"/>
      <c r="F58" s="4"/>
      <c r="G58" s="4"/>
      <c r="H58" s="2"/>
    </row>
    <row r="59" spans="2:9">
      <c r="B59" s="3"/>
      <c r="C59" s="3"/>
      <c r="D59" s="3"/>
      <c r="E59" s="4"/>
      <c r="F59" s="4"/>
      <c r="G59" s="4"/>
      <c r="H59" s="2"/>
    </row>
    <row r="60" spans="2:9">
      <c r="B60" s="3"/>
      <c r="C60" s="3"/>
      <c r="D60" s="3"/>
      <c r="E60" s="4"/>
      <c r="F60" s="4"/>
      <c r="G60" s="4"/>
      <c r="H60" s="2"/>
    </row>
    <row r="61" spans="2:9">
      <c r="H61" s="2"/>
    </row>
    <row r="62" spans="2:9">
      <c r="H62" s="2"/>
    </row>
    <row r="63" spans="2:9">
      <c r="H63" s="2"/>
    </row>
    <row r="64" spans="2:9">
      <c r="H64" s="2"/>
    </row>
    <row r="65" spans="8:8">
      <c r="H65" s="2"/>
    </row>
    <row r="66" spans="8:8">
      <c r="H66" s="2"/>
    </row>
    <row r="67" spans="8:8">
      <c r="H67" s="2"/>
    </row>
    <row r="68" spans="8:8">
      <c r="H68" s="2"/>
    </row>
    <row r="69" spans="8:8">
      <c r="H69" s="2"/>
    </row>
    <row r="70" spans="8:8">
      <c r="H70" s="2"/>
    </row>
    <row r="71" spans="8:8">
      <c r="H71" s="2"/>
    </row>
    <row r="72" spans="8:8">
      <c r="H72" s="2"/>
    </row>
    <row r="73" spans="8:8">
      <c r="H73" s="2"/>
    </row>
    <row r="74" spans="8:8">
      <c r="H74" s="2"/>
    </row>
    <row r="75" spans="8:8">
      <c r="H75" s="2"/>
    </row>
    <row r="76" spans="8:8">
      <c r="H76" s="2"/>
    </row>
    <row r="77" spans="8:8">
      <c r="H77" s="2"/>
    </row>
    <row r="78" spans="8:8">
      <c r="H78" s="2"/>
    </row>
    <row r="79" spans="8:8">
      <c r="H79" s="2"/>
    </row>
    <row r="80" spans="8:8">
      <c r="H80" s="2"/>
    </row>
    <row r="81" spans="8:8">
      <c r="H81" s="2"/>
    </row>
    <row r="82" spans="8:8">
      <c r="H82" s="2"/>
    </row>
    <row r="83" spans="8:8">
      <c r="H83" s="2"/>
    </row>
    <row r="84" spans="8:8">
      <c r="H84" s="2"/>
    </row>
    <row r="85" spans="8:8">
      <c r="H85" s="2"/>
    </row>
    <row r="86" spans="8:8">
      <c r="H86" s="2"/>
    </row>
    <row r="87" spans="8:8">
      <c r="H87" s="2"/>
    </row>
    <row r="88" spans="8:8">
      <c r="H88" s="2"/>
    </row>
    <row r="89" spans="8:8">
      <c r="H89" s="2"/>
    </row>
    <row r="90" spans="8:8">
      <c r="H90" s="2"/>
    </row>
    <row r="91" spans="8:8">
      <c r="H91" s="2"/>
    </row>
    <row r="92" spans="8:8">
      <c r="H92" s="2"/>
    </row>
    <row r="93" spans="8:8">
      <c r="H93" s="2"/>
    </row>
    <row r="94" spans="8:8">
      <c r="H94" s="2"/>
    </row>
    <row r="95" spans="8:8">
      <c r="H95" s="2"/>
    </row>
    <row r="96" spans="8:8">
      <c r="H96" s="2"/>
    </row>
    <row r="97" spans="8:8">
      <c r="H97" s="2"/>
    </row>
    <row r="98" spans="8:8">
      <c r="H98" s="2"/>
    </row>
    <row r="99" spans="8:8">
      <c r="H99" s="2"/>
    </row>
    <row r="100" spans="8:8">
      <c r="H100" s="2"/>
    </row>
    <row r="101" spans="8:8">
      <c r="H101" s="2"/>
    </row>
    <row r="102" spans="8:8">
      <c r="H102" s="2"/>
    </row>
    <row r="103" spans="8:8">
      <c r="H103" s="2"/>
    </row>
    <row r="104" spans="8:8">
      <c r="H104" s="2"/>
    </row>
    <row r="105" spans="8:8">
      <c r="H105" s="2"/>
    </row>
    <row r="106" spans="8:8">
      <c r="H106" s="2"/>
    </row>
    <row r="107" spans="8:8">
      <c r="H107" s="2"/>
    </row>
    <row r="108" spans="8:8">
      <c r="H108" s="2"/>
    </row>
    <row r="109" spans="8:8">
      <c r="H109" s="2"/>
    </row>
    <row r="110" spans="8:8">
      <c r="H110" s="2"/>
    </row>
    <row r="111" spans="8:8">
      <c r="H111" s="2"/>
    </row>
    <row r="112" spans="8:8">
      <c r="H112" s="2"/>
    </row>
    <row r="113" spans="8:8">
      <c r="H113" s="2"/>
    </row>
    <row r="114" spans="8:8">
      <c r="H114" s="2"/>
    </row>
    <row r="115" spans="8:8">
      <c r="H115" s="2"/>
    </row>
    <row r="116" spans="8:8">
      <c r="H116" s="2"/>
    </row>
    <row r="117" spans="8:8">
      <c r="H117" s="2"/>
    </row>
    <row r="118" spans="8:8">
      <c r="H118" s="2"/>
    </row>
    <row r="119" spans="8:8">
      <c r="H119" s="2"/>
    </row>
    <row r="120" spans="8:8">
      <c r="H120" s="2"/>
    </row>
    <row r="121" spans="8:8">
      <c r="H121" s="2"/>
    </row>
    <row r="122" spans="8:8">
      <c r="H122" s="2"/>
    </row>
    <row r="123" spans="8:8">
      <c r="H123" s="2"/>
    </row>
    <row r="124" spans="8:8">
      <c r="H124" s="2"/>
    </row>
    <row r="125" spans="8:8">
      <c r="H125" s="2"/>
    </row>
    <row r="126" spans="8:8">
      <c r="H126" s="2"/>
    </row>
    <row r="127" spans="8:8">
      <c r="H127" s="2"/>
    </row>
    <row r="128" spans="8:8">
      <c r="H128" s="2"/>
    </row>
    <row r="129" spans="8:8">
      <c r="H129" s="2"/>
    </row>
    <row r="130" spans="8:8">
      <c r="H130" s="2"/>
    </row>
    <row r="131" spans="8:8">
      <c r="H131" s="2"/>
    </row>
    <row r="132" spans="8:8">
      <c r="H132" s="2"/>
    </row>
    <row r="133" spans="8:8">
      <c r="H133" s="2"/>
    </row>
    <row r="134" spans="8:8">
      <c r="H134" s="2"/>
    </row>
    <row r="135" spans="8:8">
      <c r="H135" s="2"/>
    </row>
    <row r="136" spans="8:8">
      <c r="H136" s="2"/>
    </row>
    <row r="137" spans="8:8">
      <c r="H137" s="2"/>
    </row>
    <row r="138" spans="8:8">
      <c r="H138" s="2"/>
    </row>
    <row r="139" spans="8:8">
      <c r="H139" s="2"/>
    </row>
    <row r="140" spans="8:8">
      <c r="H140" s="2"/>
    </row>
    <row r="141" spans="8:8">
      <c r="H141" s="2"/>
    </row>
    <row r="142" spans="8:8">
      <c r="H142" s="2"/>
    </row>
    <row r="143" spans="8:8">
      <c r="H143" s="2"/>
    </row>
    <row r="144" spans="8:8">
      <c r="H144" s="2"/>
    </row>
    <row r="145" spans="8:8">
      <c r="H145" s="2"/>
    </row>
    <row r="146" spans="8:8">
      <c r="H146" s="2"/>
    </row>
    <row r="147" spans="8:8">
      <c r="H147" s="2"/>
    </row>
    <row r="148" spans="8:8">
      <c r="H148" s="2"/>
    </row>
  </sheetData>
  <mergeCells count="3">
    <mergeCell ref="F9:G9"/>
    <mergeCell ref="F32:G32"/>
    <mergeCell ref="F47:G47"/>
  </mergeCells>
  <phoneticPr fontId="3" type="noConversion"/>
  <hyperlinks>
    <hyperlink ref="G1" r:id="rId1" xr:uid="{C5190FF5-A88F-436D-A267-2769932E9F1E}"/>
    <hyperlink ref="D46" r:id="rId2" display="https://www.drillingformulas.com/minimum-curvature-method/" xr:uid="{23846FD1-4B2F-4DD8-B661-9CE0CE962EFD}"/>
  </hyperlinks>
  <pageMargins left="0.75" right="0.75" top="1" bottom="1" header="0.5" footer="0.5"/>
  <pageSetup scale="81" orientation="portrait" horizontalDpi="4294967292" verticalDpi="300" r:id="rId3"/>
  <headerFooter alignWithMargins="0"/>
  <drawing r:id="rId4"/>
  <legacyDrawing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indexed="12"/>
  </sheetPr>
  <dimension ref="B1:I28"/>
  <sheetViews>
    <sheetView zoomScaleNormal="100" workbookViewId="0">
      <selection activeCell="E21" sqref="E21"/>
    </sheetView>
  </sheetViews>
  <sheetFormatPr defaultRowHeight="13.2"/>
  <cols>
    <col min="1" max="1" width="4" customWidth="1"/>
    <col min="8" max="8" width="5.5546875" customWidth="1"/>
  </cols>
  <sheetData>
    <row r="1" spans="2:9">
      <c r="E1" s="75" t="s">
        <v>61</v>
      </c>
    </row>
    <row r="3" spans="2:9" ht="17.399999999999999">
      <c r="B3" s="55" t="s">
        <v>66</v>
      </c>
    </row>
    <row r="6" spans="2:9" s="1" customFormat="1">
      <c r="B6" s="8" t="s">
        <v>58</v>
      </c>
      <c r="C6" s="3"/>
      <c r="D6" s="3"/>
      <c r="E6" s="4"/>
      <c r="F6" s="4"/>
      <c r="G6" s="4"/>
      <c r="H6" s="4"/>
    </row>
    <row r="7" spans="2:9" s="1" customFormat="1">
      <c r="B7" s="58" t="s">
        <v>43</v>
      </c>
      <c r="C7" s="59"/>
      <c r="D7" s="59"/>
      <c r="E7" s="60" t="s">
        <v>0</v>
      </c>
      <c r="F7" s="60" t="s">
        <v>1</v>
      </c>
      <c r="G7" s="4"/>
      <c r="H7" s="4"/>
      <c r="I7" s="4" t="s">
        <v>27</v>
      </c>
    </row>
    <row r="8" spans="2:9" s="1" customFormat="1">
      <c r="B8" s="31" t="s">
        <v>20</v>
      </c>
      <c r="C8" s="3"/>
      <c r="D8" s="3"/>
      <c r="E8" s="71">
        <v>180</v>
      </c>
      <c r="F8" s="54">
        <f>mcGetMDfromTVD('Example 1'!$B$13:G23,E8)</f>
        <v>180</v>
      </c>
      <c r="G8" s="54">
        <f>mcGetMDfromTVD('Example 1'!$B$13,E8)</f>
        <v>180</v>
      </c>
    </row>
    <row r="9" spans="2:9" s="1" customFormat="1">
      <c r="B9" s="32" t="s">
        <v>19</v>
      </c>
      <c r="C9" s="3"/>
      <c r="E9" s="72">
        <v>605</v>
      </c>
      <c r="F9" s="54">
        <f>mcGetMDfromTVD('Example 1'!$B$13:G24,E9)</f>
        <v>605.25375120925014</v>
      </c>
      <c r="G9" s="54">
        <f>mcGetMDfromTVD('Example 1'!$B$13,E9)</f>
        <v>605.25375120925014</v>
      </c>
    </row>
    <row r="10" spans="2:9" s="1" customFormat="1">
      <c r="B10" s="32" t="s">
        <v>18</v>
      </c>
      <c r="C10" s="3"/>
      <c r="E10" s="72">
        <v>600</v>
      </c>
      <c r="F10" s="54">
        <f>mcGetMDfromTVD('Example 1'!$B$13:G25,E10)</f>
        <v>600.25375120925014</v>
      </c>
      <c r="G10" s="54">
        <f>mcGetMDfromTVD('Example 1'!$B$13,E10)</f>
        <v>600.25375120925014</v>
      </c>
      <c r="I10" s="57" t="s">
        <v>62</v>
      </c>
    </row>
    <row r="11" spans="2:9" s="1" customFormat="1">
      <c r="B11" s="32" t="s">
        <v>21</v>
      </c>
      <c r="C11" s="3"/>
      <c r="E11" s="71">
        <v>2003</v>
      </c>
      <c r="F11" s="54">
        <f>mcGetMDfromTVD('Example 1'!$B$13:G26,E11)</f>
        <v>2003.2537512092501</v>
      </c>
      <c r="G11" s="54">
        <f>mcGetMDfromTVD('Example 1'!$B$13,E11)</f>
        <v>2003.2537512092501</v>
      </c>
      <c r="I11" s="57" t="s">
        <v>63</v>
      </c>
    </row>
    <row r="12" spans="2:9" s="1" customFormat="1">
      <c r="B12" s="32" t="s">
        <v>22</v>
      </c>
      <c r="C12" s="3"/>
      <c r="E12" s="71">
        <v>2000</v>
      </c>
      <c r="F12" s="54">
        <f>mcGetMDfromTVD('Example 1'!B13:G27,E12)</f>
        <v>2000.2537512092501</v>
      </c>
      <c r="G12" s="54">
        <f>mcGetMDfromTVD('Example 1'!$B$13,E12)</f>
        <v>2000.2537512092501</v>
      </c>
      <c r="I12" s="74" t="s">
        <v>59</v>
      </c>
    </row>
    <row r="13" spans="2:9" s="1" customFormat="1">
      <c r="B13" s="32" t="s">
        <v>23</v>
      </c>
      <c r="C13" s="3"/>
      <c r="E13" s="71">
        <v>3000</v>
      </c>
      <c r="F13" s="54">
        <f>mcGetMDfromTVD('Example 1'!$B$13:G28,E13)</f>
        <v>3030.7741174975108</v>
      </c>
      <c r="G13" s="54">
        <f>mcGetMDfromTVD('Example 1'!$B$13,E13)</f>
        <v>3030.7741174975108</v>
      </c>
      <c r="H13" s="4"/>
      <c r="I13" s="1" t="s">
        <v>60</v>
      </c>
    </row>
    <row r="14" spans="2:9" s="1" customFormat="1">
      <c r="B14" s="32" t="s">
        <v>10</v>
      </c>
      <c r="C14" s="3"/>
      <c r="E14" s="71">
        <v>3500</v>
      </c>
      <c r="F14" s="54">
        <f>mcGetMDfromTVD('Example 1'!$B$13:G29,E14)</f>
        <v>3593.6815267431516</v>
      </c>
      <c r="G14" s="54">
        <f>mcGetMDfromTVD('Example 1'!$B$13,E14)</f>
        <v>3593.6815267431516</v>
      </c>
      <c r="H14" s="4"/>
    </row>
    <row r="15" spans="2:9" s="1" customFormat="1">
      <c r="B15" s="32" t="s">
        <v>24</v>
      </c>
      <c r="C15" s="3"/>
      <c r="D15" s="3"/>
      <c r="E15" s="71">
        <f>'Example 1'!E26</f>
        <v>3696.1885785725303</v>
      </c>
      <c r="F15" s="54">
        <f>mcGetMDfromTVD('Example 1'!$B$13:G30,E15)</f>
        <v>3950</v>
      </c>
      <c r="G15" s="54">
        <f>mcGetMDfromTVD('Example 1'!$B$13,E15)</f>
        <v>3950</v>
      </c>
      <c r="H15" s="4"/>
    </row>
    <row r="16" spans="2:9" s="1" customFormat="1">
      <c r="B16" s="33" t="s">
        <v>44</v>
      </c>
      <c r="C16" s="34"/>
      <c r="D16" s="34"/>
      <c r="E16" s="71">
        <f>E15-5</f>
        <v>3691.1885785725303</v>
      </c>
      <c r="F16" s="54">
        <f>mcGetMDfromTVD('Example 1'!$B$13:G31,E16)</f>
        <v>3933.0486396733518</v>
      </c>
      <c r="G16" s="54">
        <f>mcGetMDfromTVD('Example 1'!$B$13,E16)</f>
        <v>3933.0486396733518</v>
      </c>
      <c r="H16" s="4"/>
    </row>
    <row r="17" spans="2:8" s="1" customFormat="1">
      <c r="B17" s="3"/>
      <c r="C17" s="3"/>
      <c r="D17" s="3"/>
      <c r="E17" s="4"/>
      <c r="F17" s="4"/>
      <c r="G17" s="4"/>
      <c r="H17" s="4"/>
    </row>
    <row r="18" spans="2:8" s="1" customFormat="1">
      <c r="B18" s="3"/>
      <c r="C18" s="3"/>
      <c r="D18" s="3"/>
      <c r="E18" s="4"/>
      <c r="F18" s="4"/>
      <c r="G18" s="4"/>
      <c r="H18" s="4"/>
    </row>
    <row r="19" spans="2:8" s="1" customFormat="1">
      <c r="C19" s="3"/>
      <c r="D19" s="3"/>
      <c r="E19" s="4"/>
      <c r="F19" s="4"/>
      <c r="G19" s="4"/>
      <c r="H19" s="4"/>
    </row>
    <row r="20" spans="2:8" s="1" customFormat="1" ht="10.5" customHeight="1">
      <c r="B20" s="8" t="s">
        <v>25</v>
      </c>
      <c r="C20" s="3"/>
      <c r="D20" s="3"/>
      <c r="E20" s="4"/>
      <c r="F20" s="4"/>
      <c r="G20" s="4"/>
      <c r="H20" s="4"/>
    </row>
    <row r="21" spans="2:8" s="1" customFormat="1">
      <c r="B21" s="61" t="s">
        <v>1</v>
      </c>
      <c r="C21" s="61" t="s">
        <v>0</v>
      </c>
      <c r="D21" s="3"/>
      <c r="E21" s="4" t="s">
        <v>42</v>
      </c>
      <c r="F21"/>
      <c r="G21" s="4"/>
    </row>
    <row r="22" spans="2:8" s="1" customFormat="1">
      <c r="B22" s="72">
        <v>0</v>
      </c>
      <c r="C22" s="73">
        <f>mcGetTVDfromMD('Example 1'!$B$13,B22)</f>
        <v>0</v>
      </c>
      <c r="D22" s="3"/>
      <c r="E22"/>
      <c r="F22"/>
      <c r="G22" s="4"/>
      <c r="H22" s="4"/>
    </row>
    <row r="23" spans="2:8" s="1" customFormat="1">
      <c r="B23" s="72">
        <v>500</v>
      </c>
      <c r="C23" s="73">
        <f>mcGetTVDfromMD('Example 1'!$B$13,B23)</f>
        <v>499.74624879074986</v>
      </c>
      <c r="D23" s="3"/>
      <c r="E23"/>
      <c r="F23"/>
      <c r="G23" s="4"/>
      <c r="H23" s="4"/>
    </row>
    <row r="24" spans="2:8" s="1" customFormat="1">
      <c r="B24" s="72">
        <f>B23+500</f>
        <v>1000</v>
      </c>
      <c r="C24" s="73">
        <f>mcGetTVDfromMD('Example 1'!$B$13,B24)</f>
        <v>999.74624879074986</v>
      </c>
      <c r="D24" s="3"/>
      <c r="E24"/>
      <c r="F24"/>
      <c r="G24" s="4"/>
      <c r="H24" s="4"/>
    </row>
    <row r="25" spans="2:8" s="1" customFormat="1">
      <c r="B25" s="72">
        <f>B24+500</f>
        <v>1500</v>
      </c>
      <c r="C25" s="73">
        <f>mcGetTVDfromMD('Example 1'!$B$13,B25)</f>
        <v>1499.7462487907499</v>
      </c>
      <c r="D25" s="3"/>
      <c r="E25" s="4"/>
      <c r="F25" s="4"/>
      <c r="G25" s="4"/>
      <c r="H25" s="4"/>
    </row>
    <row r="26" spans="2:8" s="1" customFormat="1">
      <c r="B26" s="72">
        <f>B25+500</f>
        <v>2000</v>
      </c>
      <c r="C26" s="73">
        <f>mcGetTVDfromMD('Example 1'!$B$13,B26)</f>
        <v>1999.7462487907499</v>
      </c>
      <c r="D26" s="3"/>
      <c r="E26" s="4"/>
      <c r="F26" s="4"/>
      <c r="G26" s="4"/>
      <c r="H26" s="4"/>
    </row>
    <row r="27" spans="2:8" s="1" customFormat="1">
      <c r="B27" s="72">
        <f>B26+500</f>
        <v>2500</v>
      </c>
      <c r="C27" s="73">
        <f>mcGetTVDfromMD('Example 1'!$B$13,B27)</f>
        <v>2489.774098402685</v>
      </c>
      <c r="D27" s="3"/>
      <c r="E27" s="4"/>
      <c r="F27" s="4"/>
      <c r="G27" s="4"/>
      <c r="H27" s="4"/>
    </row>
    <row r="28" spans="2:8" s="1" customFormat="1">
      <c r="B28" s="72">
        <v>5000</v>
      </c>
      <c r="C28" s="73" t="e">
        <f>mcGetTVDfromMD('Example 1'!$B$13,B28)</f>
        <v>#VALUE!</v>
      </c>
      <c r="D28" s="3"/>
      <c r="E28" s="74" t="s">
        <v>64</v>
      </c>
      <c r="F28" s="4"/>
      <c r="G28" s="4"/>
      <c r="H28" s="4"/>
    </row>
  </sheetData>
  <phoneticPr fontId="7" type="noConversion"/>
  <hyperlinks>
    <hyperlink ref="E1" r:id="rId1" xr:uid="{61991949-99A6-4CA1-A017-EA6659E39E5F}"/>
  </hyperlinks>
  <pageMargins left="0.75" right="0.75" top="1" bottom="1" header="0.5" footer="0.5"/>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C2:L53"/>
  <sheetViews>
    <sheetView showGridLines="0" workbookViewId="0">
      <selection activeCell="H38" sqref="H38"/>
    </sheetView>
  </sheetViews>
  <sheetFormatPr defaultRowHeight="13.2"/>
  <cols>
    <col min="1" max="1" width="1.44140625" customWidth="1"/>
    <col min="3" max="3" width="0.77734375" style="36" customWidth="1"/>
    <col min="4" max="4" width="2" customWidth="1"/>
  </cols>
  <sheetData>
    <row r="2" spans="5:9" ht="17.399999999999999">
      <c r="E2" s="24" t="s">
        <v>48</v>
      </c>
      <c r="I2" s="75" t="s">
        <v>61</v>
      </c>
    </row>
    <row r="3" spans="5:9" s="36" customFormat="1" ht="3.75" customHeight="1"/>
    <row r="5" spans="5:9">
      <c r="E5" s="9" t="s">
        <v>49</v>
      </c>
    </row>
    <row r="6" spans="5:9">
      <c r="E6" s="62" t="s">
        <v>56</v>
      </c>
    </row>
    <row r="7" spans="5:9">
      <c r="E7" s="62" t="s">
        <v>57</v>
      </c>
    </row>
    <row r="8" spans="5:9">
      <c r="E8" s="63" t="s">
        <v>54</v>
      </c>
    </row>
    <row r="10" spans="5:9" s="36" customFormat="1" ht="3.75" customHeight="1"/>
    <row r="11" spans="5:9">
      <c r="E11" s="70" t="s">
        <v>41</v>
      </c>
    </row>
    <row r="12" spans="5:9">
      <c r="E12" t="s">
        <v>51</v>
      </c>
    </row>
    <row r="14" spans="5:9">
      <c r="E14" t="s">
        <v>52</v>
      </c>
    </row>
    <row r="16" spans="5:9">
      <c r="E16" t="s">
        <v>47</v>
      </c>
    </row>
    <row r="19" spans="5:7" s="36" customFormat="1" ht="3.75" customHeight="1"/>
    <row r="20" spans="5:7">
      <c r="E20" s="9" t="s">
        <v>36</v>
      </c>
    </row>
    <row r="21" spans="5:7">
      <c r="E21" s="10"/>
      <c r="F21" t="s">
        <v>14</v>
      </c>
      <c r="G21" t="s">
        <v>15</v>
      </c>
    </row>
    <row r="23" spans="5:7">
      <c r="E23" s="26"/>
      <c r="F23" t="s">
        <v>53</v>
      </c>
    </row>
    <row r="24" spans="5:7">
      <c r="E24" s="27"/>
    </row>
    <row r="25" spans="5:7">
      <c r="E25" s="28"/>
    </row>
    <row r="28" spans="5:7" s="36" customFormat="1" ht="3.75" customHeight="1"/>
    <row r="29" spans="5:7">
      <c r="E29" s="9" t="s">
        <v>28</v>
      </c>
    </row>
    <row r="30" spans="5:7">
      <c r="E30" s="77" t="s">
        <v>65</v>
      </c>
    </row>
    <row r="31" spans="5:7">
      <c r="E31" s="37" t="s">
        <v>40</v>
      </c>
    </row>
    <row r="32" spans="5:7">
      <c r="E32" s="37" t="s">
        <v>37</v>
      </c>
    </row>
    <row r="33" spans="5:12">
      <c r="E33" s="37" t="s">
        <v>50</v>
      </c>
    </row>
    <row r="34" spans="5:12">
      <c r="E34" s="37"/>
    </row>
    <row r="35" spans="5:12" ht="26.4">
      <c r="E35" s="29" t="s">
        <v>1</v>
      </c>
      <c r="F35" s="30" t="s">
        <v>34</v>
      </c>
      <c r="G35" s="30" t="s">
        <v>31</v>
      </c>
      <c r="H35" s="29" t="s">
        <v>0</v>
      </c>
      <c r="I35" s="30" t="s">
        <v>29</v>
      </c>
      <c r="J35" s="30" t="s">
        <v>30</v>
      </c>
    </row>
    <row r="36" spans="5:12" ht="13.8" thickBot="1"/>
    <row r="37" spans="5:12" ht="13.8" thickTop="1">
      <c r="E37" s="42">
        <v>0</v>
      </c>
      <c r="F37" s="43">
        <v>0</v>
      </c>
      <c r="G37" s="43">
        <v>0</v>
      </c>
      <c r="H37" s="43">
        <v>0</v>
      </c>
      <c r="I37" s="43">
        <v>0</v>
      </c>
      <c r="J37" s="44">
        <v>0</v>
      </c>
    </row>
    <row r="38" spans="5:12">
      <c r="E38" s="45">
        <v>280</v>
      </c>
      <c r="F38" s="46">
        <v>0</v>
      </c>
      <c r="G38" s="46">
        <v>0</v>
      </c>
      <c r="H38" s="47">
        <f>H37+ mcVertical(F37,F38,G37,G38,E38-E37)</f>
        <v>280</v>
      </c>
      <c r="I38" s="47">
        <f>I37+mcNorth(F37,F38,G37,G38,E38-E37)</f>
        <v>0</v>
      </c>
      <c r="J38" s="48">
        <f>J37+mcEast(F37,F38,G37,G38,E38-E37)</f>
        <v>0</v>
      </c>
    </row>
    <row r="39" spans="5:12">
      <c r="E39" s="45">
        <v>600</v>
      </c>
      <c r="F39" s="46">
        <v>30</v>
      </c>
      <c r="G39" s="46">
        <v>112</v>
      </c>
      <c r="H39" s="47">
        <f>H38+ mcVertical(F38,F39,G38,G39,E39-E38)</f>
        <v>585.57749073643902</v>
      </c>
      <c r="I39" s="47">
        <f>I38+mcNorth(F38,F39,G38,G39,E39-E38)</f>
        <v>-30.672503867633157</v>
      </c>
      <c r="J39" s="48">
        <f>J38+mcEast(F38,F39,G38,G39,E39-E38)</f>
        <v>75.917111084139307</v>
      </c>
    </row>
    <row r="40" spans="5:12">
      <c r="E40" s="45">
        <v>800</v>
      </c>
      <c r="F40" s="46">
        <v>40</v>
      </c>
      <c r="G40" s="46">
        <v>150</v>
      </c>
      <c r="H40" s="47">
        <f>H39+ mcVertical(F39,F40,G39,G40,E40-E39)</f>
        <v>751.12271534955585</v>
      </c>
      <c r="I40" s="47">
        <f>I39+mcNorth(F39,F40,G39,G40,E40-E39)</f>
        <v>-106.135752473926</v>
      </c>
      <c r="J40" s="48">
        <f>J39+mcEast(F39,F40,G39,G40,E40-E39)</f>
        <v>155.54032058682103</v>
      </c>
    </row>
    <row r="41" spans="5:12">
      <c r="E41" s="45">
        <v>2000</v>
      </c>
      <c r="F41" s="46">
        <f>F40</f>
        <v>40</v>
      </c>
      <c r="G41" s="46">
        <f>G40</f>
        <v>150</v>
      </c>
      <c r="H41" s="47">
        <f>H40+ mcVertical(F40,F41,G40,G41,E41-E40)</f>
        <v>1670.3760470923294</v>
      </c>
      <c r="I41" s="47">
        <f>I40+mcNorth(F40,F41,G40,G41,E41-E40)</f>
        <v>-774.14023154562926</v>
      </c>
      <c r="J41" s="48">
        <f>J40+mcEast(F40,F41,G40,G41,E41-E40)</f>
        <v>541.21288639874456</v>
      </c>
    </row>
    <row r="42" spans="5:12" ht="13.8" thickBot="1">
      <c r="E42" s="49"/>
      <c r="F42" s="50"/>
      <c r="G42" s="50"/>
      <c r="H42" s="51"/>
      <c r="I42" s="51"/>
      <c r="J42" s="52"/>
      <c r="L42" t="s">
        <v>46</v>
      </c>
    </row>
    <row r="43" spans="5:12" ht="13.8" thickTop="1"/>
    <row r="44" spans="5:12">
      <c r="E44" t="s">
        <v>32</v>
      </c>
    </row>
    <row r="45" spans="5:12">
      <c r="E45" t="s">
        <v>33</v>
      </c>
    </row>
    <row r="47" spans="5:12" s="36" customFormat="1" ht="3.75" customHeight="1"/>
    <row r="49" spans="5:5">
      <c r="E49" s="9" t="s">
        <v>38</v>
      </c>
    </row>
    <row r="50" spans="5:5">
      <c r="E50" t="s">
        <v>45</v>
      </c>
    </row>
    <row r="51" spans="5:5">
      <c r="E51" t="s">
        <v>39</v>
      </c>
    </row>
    <row r="53" spans="5:5" s="36" customFormat="1" ht="3.75" customHeight="1"/>
  </sheetData>
  <phoneticPr fontId="7" type="noConversion"/>
  <hyperlinks>
    <hyperlink ref="I2" r:id="rId1" xr:uid="{43070CF1-CC79-47D6-B885-9D824729F05A}"/>
  </hyperlinks>
  <pageMargins left="0.75" right="0.75" top="1" bottom="1" header="0.5" footer="0.5"/>
  <pageSetup paperSize="9" orientation="portrait" copies="0" r:id="rId2"/>
  <headerFooter alignWithMargins="0"/>
  <drawing r:id="rId3"/>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Example 1</vt:lpstr>
      <vt:lpstr>Example 2- MD.TVD</vt:lpstr>
      <vt:lpstr>Help</vt:lpstr>
      <vt:lpstr>'Example 1'!Print_Area</vt:lpstr>
    </vt:vector>
  </TitlesOfParts>
  <Company>JVPC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lamtt</dc:creator>
  <cp:lastModifiedBy>Lam, Tran Tuan (Lead Well Engineer)</cp:lastModifiedBy>
  <cp:lastPrinted>2012-08-17T21:53:22Z</cp:lastPrinted>
  <dcterms:created xsi:type="dcterms:W3CDTF">2004-12-25T02:26:11Z</dcterms:created>
  <dcterms:modified xsi:type="dcterms:W3CDTF">2024-10-20T01:12:03Z</dcterms:modified>
</cp:coreProperties>
</file>